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PC TRABALHO\Desktop\Planilha AcquaMob\vba\"/>
    </mc:Choice>
  </mc:AlternateContent>
  <bookViews>
    <workbookView xWindow="0" yWindow="0" windowWidth="28800" windowHeight="12330"/>
  </bookViews>
  <sheets>
    <sheet name="ORÇAMENTO" sheetId="5" r:id="rId1"/>
    <sheet name="Cadastro" sheetId="7" r:id="rId2"/>
    <sheet name="Planilha1" sheetId="6" state="hidden" r:id="rId3"/>
  </sheets>
  <functionGroups builtInGroupCount="18"/>
  <definedNames>
    <definedName name="ainf">#REF!</definedName>
    <definedName name="_xlnm.Print_Area" localSheetId="0">ORÇAMENTO!$B$1:$F$15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5" l="1"/>
  <c r="F13" i="5"/>
  <c r="F12" i="5" l="1"/>
  <c r="F11" i="5" l="1"/>
  <c r="F10" i="5" l="1"/>
  <c r="V3" i="5" l="1"/>
  <c r="F15" i="5" l="1"/>
</calcChain>
</file>

<file path=xl/sharedStrings.xml><?xml version="1.0" encoding="utf-8"?>
<sst xmlns="http://schemas.openxmlformats.org/spreadsheetml/2006/main" count="38" uniqueCount="35">
  <si>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</si>
  <si>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</si>
  <si>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</si>
  <si>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</si>
  <si>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</si>
  <si>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</si>
  <si>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</si>
  <si>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</si>
  <si>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</si>
  <si>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</si>
  <si>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</si>
  <si>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</si>
  <si>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</si>
  <si>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</si>
  <si>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</si>
  <si>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</si>
  <si>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</si>
  <si>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</si>
  <si>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</si>
  <si>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</si>
  <si>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</si>
  <si>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</si>
  <si>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MARKUP</t>
  </si>
  <si>
    <t>CHAPA</t>
  </si>
  <si>
    <t>DATA: 10/01/2025</t>
  </si>
  <si>
    <t>ORÇAMENTO Nº 3025</t>
  </si>
  <si>
    <t>ZELI</t>
  </si>
  <si>
    <t>CLIENTE: ZELI</t>
  </si>
  <si>
    <t>Cores granito</t>
  </si>
  <si>
    <t>Verde Labrador</t>
  </si>
  <si>
    <t>Preto São Gabriel</t>
  </si>
  <si>
    <t>Cinza Andorinha</t>
  </si>
  <si>
    <t>Branco Itaúnas</t>
  </si>
  <si>
    <t>BANHEIRO: Armário suspenso a prova dagua pintado na cor Branca med. 80x80x17cm com 1 porta, molduras, espelho e ferragens em inox e; Balcão a prova dagua pintado na cor Branca med. 80x70x50cm com 2 portas com moldura e almofada e ferragens em inox.</t>
  </si>
  <si>
    <t>BANHEIRO: Armário suspenso a prova dagua pintado na cor Branca med. 805x80x17cm com 1 porta, molduras, espelho e ferragens em inox e; Balcão a prova dagua pintado na cor Branca med. 80x70x50cm com 2 portas com moldura e almofada e ferragens em inox.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</si>
</sst>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sz val="1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color theme="1"/>
      <name val="Arial"/>
    </font>
    <font>
      <sz val="11"/>
      <name val="Arial"/>
    </font>
    <font>
      <b/>
      <sz val="11"/>
      <color theme="1"/>
      <name val="Arial"/>
    </font>
    <font>
      <b/>
      <sz val="11"/>
      <name val="Arial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</cellStyleXfs>
  <cellXfs count="64">
    <xf numFmtId="0" fontId="0" fillId="0" borderId="0" xfId="0"/>
    <xf numFmtId="0" fontId="4" fillId="0" borderId="0" xfId="2"/>
    <xf numFmtId="44" fontId="0" fillId="0" borderId="0" xfId="3" applyFont="1" applyFill="1" applyBorder="1"/>
    <xf numFmtId="0" fontId="6" fillId="0" borderId="0" xfId="2" applyFont="1" applyAlignment="1">
      <alignment vertical="center"/>
    </xf>
    <xf numFmtId="0" fontId="2" fillId="0" borderId="0" xfId="2" applyFont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Alignment="1">
      <alignment vertical="top"/>
    </xf>
    <xf numFmtId="0" fontId="10" fillId="0" borderId="0" xfId="2" applyFont="1" applyBorder="1" applyAlignment="1">
      <alignment vertical="top"/>
    </xf>
    <xf numFmtId="0" fontId="5" fillId="0" borderId="0" xfId="2" applyFont="1" applyAlignment="1">
      <alignment vertical="center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0" fontId="4" fillId="0" borderId="0" xfId="2" applyFill="1" applyProtection="1"/>
    <xf numFmtId="0" fontId="0" fillId="0" borderId="0" xfId="0" applyFill="1" applyProtection="1"/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44" fontId="11" fillId="0" borderId="2" xfId="3" applyNumberFormat="1" applyFont="1" applyFill="1" applyBorder="1" applyAlignment="1" applyProtection="1">
      <alignment horizontal="center" vertical="center"/>
      <protection locked="0"/>
    </xf>
    <xf numFmtId="44" fontId="9" fillId="0" borderId="2" xfId="1" applyNumberFormat="1" applyFont="1" applyFill="1" applyBorder="1" applyAlignment="1" applyProtection="1">
      <alignment horizontal="center" vertical="center"/>
    </xf>
    <xf numFmtId="0" fontId="14" fillId="0" borderId="3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right"/>
    </xf>
    <xf numFmtId="0" fontId="14" fillId="0" borderId="0" xfId="0" applyFont="1" applyFill="1" applyAlignment="1">
      <alignment horizontal="right"/>
    </xf>
    <xf numFmtId="0" fontId="14" fillId="0" borderId="0" xfId="0" applyFont="1" applyFill="1" applyBorder="1" applyAlignment="1" applyProtection="1">
      <alignment horizontal="right"/>
    </xf>
    <xf numFmtId="44" fontId="14" fillId="0" borderId="0" xfId="1" applyFont="1" applyFill="1" applyBorder="1" applyProtection="1">
      <protection locked="0"/>
    </xf>
    <xf numFmtId="44" fontId="14" fillId="0" borderId="3" xfId="1" applyFont="1" applyBorder="1" applyAlignment="1" applyProtection="1">
      <alignment horizontal="center" vertical="center"/>
      <protection locked="0"/>
    </xf>
    <xf numFmtId="44" fontId="14" fillId="0" borderId="5" xfId="1" applyFont="1" applyBorder="1" applyAlignment="1" applyProtection="1">
      <alignment horizontal="center" vertical="center"/>
      <protection locked="0"/>
    </xf>
    <xf numFmtId="44" fontId="14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15" fillId="0" borderId="11" xfId="2" applyFont="1" applyFill="1" applyBorder="1" applyAlignment="1">
      <alignment horizontal="center"/>
    </xf>
    <xf numFmtId="0" fontId="15" fillId="0" borderId="12" xfId="2" applyFont="1" applyFill="1" applyBorder="1" applyAlignment="1">
      <alignment horizontal="center"/>
    </xf>
    <xf numFmtId="0" fontId="15" fillId="0" borderId="10" xfId="2" applyFont="1" applyFill="1" applyBorder="1" applyAlignment="1">
      <alignment horizontal="center"/>
    </xf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3" xfId="2" applyFill="1" applyBorder="1" applyAlignment="1" applyProtection="1">
      <alignment horizontal="center" vertical="center"/>
      <protection locked="0"/>
    </xf>
    <xf numFmtId="1" fontId="4" fillId="0" borderId="9" xfId="2" applyNumberFormat="1" applyFill="1" applyBorder="1" applyAlignment="1" applyProtection="1">
      <alignment horizontal="center" vertical="center"/>
      <protection locked="0"/>
    </xf>
    <xf numFmtId="14" fontId="7" fillId="0" borderId="13" xfId="2" applyNumberFormat="1" applyFont="1" applyFill="1" applyBorder="1" applyAlignment="1" applyProtection="1">
      <alignment horizontal="center" vertical="center"/>
      <protection locked="0"/>
    </xf>
    <xf numFmtId="44" fontId="1" fillId="0" borderId="0" xfId="3" applyFont="1"/>
    <xf numFmtId="0" fontId="8" fillId="0" borderId="2" xfId="2" applyNumberFormat="1" applyFont="1" applyFill="1" applyBorder="1" applyAlignment="1" applyProtection="1">
      <alignment horizontal="center" vertical="center"/>
    </xf>
    <xf numFmtId="0" fontId="12" fillId="0" borderId="9" xfId="2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Fill="1" applyBorder="1" applyProtection="1">
      <protection locked="0"/>
    </xf>
    <xf numFmtId="0" fontId="16" fillId="0" borderId="1" xfId="2" applyNumberFormat="1" applyFont="1" applyFill="1" applyBorder="1" applyAlignment="1" applyProtection="1">
      <alignment horizontal="center" vertical="center"/>
    </xf>
    <xf numFmtId="0" fontId="17" fillId="0" borderId="2" xfId="2" applyFont="1" applyFill="1" applyBorder="1" applyAlignment="1" applyProtection="1">
      <alignment horizontal="left" vertical="center" wrapText="1"/>
      <protection locked="0"/>
    </xf>
    <xf numFmtId="0" fontId="16" fillId="0" borderId="2" xfId="2" applyNumberFormat="1" applyFont="1" applyFill="1" applyBorder="1" applyAlignment="1" applyProtection="1">
      <alignment horizontal="center" vertical="center"/>
      <protection locked="0"/>
    </xf>
    <xf numFmtId="44" fontId="18" fillId="0" borderId="2" xfId="3" applyNumberFormat="1" applyFont="1" applyFill="1" applyBorder="1" applyAlignment="1" applyProtection="1">
      <alignment horizontal="center" vertical="center"/>
      <protection locked="0"/>
    </xf>
    <xf numFmtId="44" fontId="19" fillId="0" borderId="2" xfId="1" applyNumberFormat="1" applyFont="1" applyFill="1" applyBorder="1" applyAlignment="1" applyProtection="1">
      <alignment horizontal="center" vertical="center"/>
    </xf>
    <xf numFmtId="0" fontId="8" fillId="0" borderId="1" xfId="2" applyNumberFormat="1" applyFont="1" applyFill="1" applyBorder="1" applyAlignment="1" applyProtection="1">
      <alignment horizontal="center" vertical="center"/>
    </xf>
    <xf numFmtId="0" fontId="12" fillId="0" borderId="2" xfId="2" applyFont="1" applyFill="1" applyBorder="1" applyAlignment="1" applyProtection="1">
      <alignment horizontal="left" vertical="center" wrapText="1"/>
      <protection locked="0"/>
    </xf>
    <xf numFmtId="0" fontId="8" fillId="0" borderId="0" xfId="2" applyFont="1" applyAlignment="1">
      <alignment horizontal="left" vertical="center" wrapText="1"/>
    </xf>
    <xf numFmtId="0" fontId="10" fillId="0" borderId="0" xfId="2" applyFont="1" applyBorder="1" applyAlignment="1">
      <alignment horizontal="left" vertical="top"/>
    </xf>
    <xf numFmtId="0" fontId="8" fillId="0" borderId="2" xfId="2" applyFont="1" applyBorder="1" applyAlignment="1">
      <alignment horizontal="left" wrapText="1"/>
    </xf>
    <xf numFmtId="0" fontId="8" fillId="0" borderId="0" xfId="2" applyFont="1" applyBorder="1" applyAlignment="1">
      <alignment horizontal="left" wrapText="1"/>
    </xf>
    <xf numFmtId="0" fontId="10" fillId="0" borderId="0" xfId="2" applyFont="1" applyAlignment="1">
      <alignment horizontal="left" vertical="top"/>
    </xf>
    <xf numFmtId="0" fontId="16" fillId="0" borderId="2" xfId="0" applyNumberFormat="1" applyFont="1" applyFill="1" applyBorder="1" applyAlignment="1" applyProtection="1">
      <alignment horizontal="center" vertical="center"/>
    </xf>
    <xf numFmtId="0" fontId="19" fillId="0" borderId="8" xfId="0" applyNumberFormat="1" applyFont="1" applyFill="1" applyBorder="1" applyAlignment="1" applyProtection="1">
      <alignment horizontal="center" vertical="center" wrapText="1"/>
    </xf>
    <xf numFmtId="0" fontId="18" fillId="0" borderId="8" xfId="0" applyNumberFormat="1" applyFont="1" applyFill="1" applyBorder="1" applyAlignment="1" applyProtection="1">
      <alignment horizontal="center" vertical="center"/>
    </xf>
    <xf numFmtId="44" fontId="18" fillId="0" borderId="7" xfId="0" applyNumberFormat="1" applyFont="1" applyFill="1" applyBorder="1" applyAlignment="1" applyProtection="1">
      <alignment horizontal="center" vertical="center"/>
    </xf>
    <xf numFmtId="44" fontId="19" fillId="0" borderId="2" xfId="0" applyNumberFormat="1" applyFont="1" applyFill="1" applyBorder="1" applyAlignment="1" applyProtection="1">
      <alignment horizontal="center" vertical="center"/>
    </xf>
  </cellXfs>
  <cellStyles count="4">
    <cellStyle name="Moeda" xfId="1" builtinId="4"/>
    <cellStyle name="Moeda 2" xfId="3"/>
    <cellStyle name="Normal" xfId="0" builtinId="0"/>
    <cellStyle name="Normal 2" xfId="2"/>
  </cellStyles>
  <dxfs count="43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42"/>
    </tableStyle>
  </tableStyles>
  <colors>
    <mruColors>
      <color rgb="FF9EC4E6"/>
      <color rgb="FF91BCE3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485775</xdr:colOff>
      <xdr:row>17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7</xdr:col>
      <xdr:colOff>31750</xdr:colOff>
      <xdr:row>1</xdr:row>
      <xdr:rowOff>127000</xdr:rowOff>
    </xdr:from>
    <xdr:to>
      <xdr:col>10</xdr:col>
      <xdr:colOff>327025</xdr:colOff>
      <xdr:row>10</xdr:row>
      <xdr:rowOff>593725</xdr:rowOff>
    </xdr:to>
    <xdr:grpSp>
      <xdr:nvGrpSpPr>
        <xdr:cNvPr id="2" name="GrupoBtns"/>
        <xdr:cNvGrpSpPr/>
      </xdr:nvGrpSpPr>
      <xdr:grpSpPr>
        <a:xfrm>
          <a:off x="8128000" y="317500"/>
          <a:ext cx="2733675" cy="2838450"/>
          <a:chOff x="8128000" y="889000"/>
          <a:chExt cx="2733675" cy="2771775"/>
        </a:xfrm>
      </xdr:grpSpPr>
      <xdr:sp macro="" textlink="">
        <xdr:nvSpPr>
          <xdr:cNvPr id="8" name="Retângulo 7"/>
          <xdr:cNvSpPr/>
        </xdr:nvSpPr>
        <xdr:spPr>
          <a:xfrm>
            <a:off x="8128000" y="889000"/>
            <a:ext cx="2733675" cy="2771775"/>
          </a:xfrm>
          <a:prstGeom prst="rect">
            <a:avLst/>
          </a:prstGeom>
          <a:solidFill>
            <a:srgbClr val="9EC4E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42297" y="984250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Bwc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8257204" y="29988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latin typeface="Bahnschrift SemiCondensed" panose="020B0502040204020203" pitchFamily="34" charset="0"/>
              </a:rPr>
              <a:t> PDF</a:t>
            </a:r>
            <a:endParaRPr lang="pt-BR" sz="1600"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8261047" y="2343140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9565972" y="98937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16" name="Cliente"/>
          <xdr:cNvSpPr>
            <a:spLocks/>
          </xdr:cNvSpPr>
        </xdr:nvSpPr>
        <xdr:spPr>
          <a:xfrm>
            <a:off x="9575797" y="16605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MenuClick" textlink="">
        <xdr:nvSpPr>
          <xdr:cNvPr id="17" name="Chapas"/>
          <xdr:cNvSpPr>
            <a:spLocks/>
          </xdr:cNvSpPr>
        </xdr:nvSpPr>
        <xdr:spPr>
          <a:xfrm>
            <a:off x="9566272" y="2327275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</a:t>
            </a:r>
            <a:r>
              <a:rPr lang="pt-BR" sz="1400" baseline="0">
                <a:latin typeface="Bahnschrift SemiCondensed" panose="020B0502040204020203" pitchFamily="34" charset="0"/>
              </a:rPr>
              <a:t> Chapas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22" name="Acess"/>
          <xdr:cNvSpPr>
            <a:spLocks/>
          </xdr:cNvSpPr>
        </xdr:nvSpPr>
        <xdr:spPr>
          <a:xfrm>
            <a:off x="9556747" y="29940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Valor Acessórios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CallUserForm2" textlink="">
        <xdr:nvSpPr>
          <xdr:cNvPr id="14" name="Retângulo 13"/>
          <xdr:cNvSpPr>
            <a:spLocks/>
          </xdr:cNvSpPr>
        </xdr:nvSpPr>
        <xdr:spPr>
          <a:xfrm>
            <a:off x="8251822" y="1663242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Tampo</a:t>
            </a:r>
          </a:p>
        </xdr:txBody>
      </xdr:sp>
    </xdr:grpSp>
    <xdr:clientData fPrintsWithSheet="0"/>
  </xdr:two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tables/table1.xml><?xml version="1.0" encoding="utf-8"?>
<table xmlns="http://schemas.openxmlformats.org/spreadsheetml/2006/main" id="13" name="OrcamentTbl" displayName="OrcamentTbl" ref="B9:F15" totalsRowCount="1" headerRowDxfId="41" dataDxfId="40" totalsRowDxfId="19" tableBorderDxfId="39" totalsRowBorderDxfId="38">
  <autoFilter ref="B9:F14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29" totalsRowDxfId="24" dataCellStyle="Normal 2"/>
    <tableColumn id="2" name="DESCRIÇÃO" totalsRowLabel="TOTAL" dataDxfId="28" totalsRowDxfId="23" dataCellStyle="Normal 2"/>
    <tableColumn id="3" name="QTDE" dataDxfId="27" totalsRowDxfId="22" dataCellStyle="Normal 2"/>
    <tableColumn id="4" name="VALOR UNT." dataDxfId="26" totalsRowDxfId="21" dataCellStyle="Moeda 2">
      <calculatedColumnFormula>ROUND((1975+(110*(0.75+0.1)*(0.45+0.1)*markup(3))+(200*markup(2))+60+30)*1.12233,0)+1</calculatedColumnFormula>
    </tableColumn>
    <tableColumn id="5" name="SUB TOTAL" totalsRowFunction="custom" dataDxfId="25" totalsRowDxfId="20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U2:Z3" totalsRowShown="0" headerRowDxfId="37" dataDxfId="3" tableBorderDxfId="36">
  <autoFilter ref="U2:Z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2"/>
    <tableColumn id="1" name="m²" dataDxfId="0">
      <calculatedColumnFormula>1.22*2.44</calculatedColumnFormula>
    </tableColumn>
    <tableColumn id="2" name="5mm" dataDxfId="1"/>
    <tableColumn id="3" name="10mm" dataDxfId="6"/>
    <tableColumn id="4" name="15mm" dataDxfId="5"/>
    <tableColumn id="5" name="20mm" dataDxfId="4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U5:Z6" totalsRowShown="0" headerRowDxfId="35" dataDxfId="12" tableBorderDxfId="34" dataCellStyle="Moeda">
  <autoFilter ref="U5:Z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18" dataCellStyle="Moeda"/>
    <tableColumn id="2" name="PUXADOR" dataDxfId="17" dataCellStyle="Moeda"/>
    <tableColumn id="3" name="TINTA m²" dataDxfId="16" dataCellStyle="Moeda"/>
    <tableColumn id="4" name="ESPELHO m²" dataDxfId="15" dataCellStyle="Moeda"/>
    <tableColumn id="5" name="CORREDIÇA" dataDxfId="14" dataCellStyle="Moeda"/>
    <tableColumn id="6" name="PÉ" dataDxfId="13" dataCellStyle="Moeda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U8:X9" totalsRowShown="0" headerRowDxfId="33" dataDxfId="7" headerRowBorderDxfId="32" tableBorderDxfId="31" totalsRowBorderDxfId="30" headerRowCellStyle="Normal 2">
  <autoFilter ref="U8:X9">
    <filterColumn colId="0" hiddenButton="1"/>
    <filterColumn colId="1" hiddenButton="1"/>
    <filterColumn colId="2" hiddenButton="1"/>
    <filterColumn colId="3" hiddenButton="1"/>
  </autoFilter>
  <tableColumns count="4">
    <tableColumn id="1" name="CLIENTE" dataDxfId="11" dataCellStyle="Normal 2"/>
    <tableColumn id="2" name="DATA" dataDxfId="10" dataCellStyle="Normal 2"/>
    <tableColumn id="3" name="Nº" dataDxfId="9" dataCellStyle="Normal 2"/>
    <tableColumn id="4" name="MARKUP" dataDxfId="8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coresGranito" displayName="coresGranito" ref="B3:B7" totalsRowShown="0">
  <autoFilter ref="B3:B7"/>
  <tableColumns count="1">
    <tableColumn id="1" name="Cores grani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24"/>
  <sheetViews>
    <sheetView showGridLines="0" tabSelected="1" zoomScaleNormal="100" workbookViewId="0">
      <selection activeCell="H12" sqref="H12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8" style="7" bestFit="1" customWidth="1"/>
    <col min="7" max="7" width="2.85546875" style="1" customWidth="1"/>
    <col min="8" max="8" width="11.7109375" style="1" bestFit="1" customWidth="1"/>
    <col min="9" max="9" width="12.85546875" style="1" bestFit="1" customWidth="1"/>
    <col min="10" max="12" width="12" style="1" bestFit="1" customWidth="1"/>
    <col min="13" max="13" width="13.7109375" style="1" customWidth="1"/>
    <col min="14" max="14" width="12" style="1" customWidth="1"/>
    <col min="15" max="15" width="13.140625" style="1" bestFit="1" customWidth="1"/>
    <col min="16" max="16" width="13.7109375" style="1" customWidth="1"/>
    <col min="17" max="17" width="13.28515625" style="1" customWidth="1"/>
    <col min="18" max="18" width="10.5703125" style="1" bestFit="1" customWidth="1"/>
    <col min="19" max="19" width="9" style="1" bestFit="1" customWidth="1"/>
    <col min="20" max="20" width="11.140625" style="1" bestFit="1" customWidth="1"/>
    <col min="21" max="26" width="13.28515625" customWidth="1"/>
    <col min="35" max="35" width="13.140625" style="1" bestFit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5"/>
    </row>
    <row r="2" spans="2:34" ht="15.75" customHeight="1" x14ac:dyDescent="0.25">
      <c r="B2" s="14"/>
      <c r="C2" s="14"/>
      <c r="D2" s="14"/>
      <c r="E2" s="14"/>
      <c r="F2" s="14"/>
      <c r="U2" s="26" t="s">
        <v>18</v>
      </c>
      <c r="V2" s="27" t="s">
        <v>2</v>
      </c>
      <c r="W2" s="27" t="s">
        <v>3</v>
      </c>
      <c r="X2" s="27" t="s">
        <v>4</v>
      </c>
      <c r="Y2" s="27" t="s">
        <v>5</v>
      </c>
      <c r="Z2" s="27" t="s">
        <v>6</v>
      </c>
    </row>
    <row r="3" spans="2:34" ht="15.75" customHeight="1" x14ac:dyDescent="0.25">
      <c r="B3" s="14"/>
      <c r="C3" s="14"/>
      <c r="D3" s="14"/>
      <c r="E3" s="58" t="s">
        <v>27</v>
      </c>
      <c r="F3" s="58"/>
      <c r="U3" s="28" t="s">
        <v>23</v>
      </c>
      <c r="V3" s="46">
        <f>1.22*2.44</f>
        <v>2.9767999999999999</v>
      </c>
      <c r="W3" s="29">
        <v>94.33</v>
      </c>
      <c r="X3" s="29">
        <v>177.82</v>
      </c>
      <c r="Y3" s="29">
        <v>283.01</v>
      </c>
      <c r="Z3" s="29">
        <v>377.34</v>
      </c>
      <c r="AC3" s="1"/>
      <c r="AD3" s="1"/>
      <c r="AE3" s="1"/>
      <c r="AF3" s="1"/>
      <c r="AG3" s="1"/>
      <c r="AH3" s="1"/>
    </row>
    <row r="4" spans="2:34" ht="15.75" customHeight="1" x14ac:dyDescent="0.25">
      <c r="D4" s="3"/>
      <c r="E4" s="58" t="s">
        <v>24</v>
      </c>
      <c r="F4" s="58"/>
      <c r="H4" s="35"/>
      <c r="I4" s="35"/>
      <c r="J4" s="35"/>
      <c r="K4" s="35"/>
      <c r="L4" s="35"/>
      <c r="M4" s="18"/>
      <c r="AC4" s="1"/>
      <c r="AD4" s="1"/>
      <c r="AE4" s="1"/>
      <c r="AF4" s="1"/>
      <c r="AG4" s="1"/>
      <c r="AH4" s="1"/>
    </row>
    <row r="5" spans="2:34" s="5" customFormat="1" ht="15.75" x14ac:dyDescent="0.25">
      <c r="B5" s="4" t="s">
        <v>11</v>
      </c>
      <c r="E5" s="55" t="s">
        <v>25</v>
      </c>
      <c r="F5" s="55"/>
      <c r="M5" s="18"/>
      <c r="U5" s="23" t="s">
        <v>9</v>
      </c>
      <c r="V5" s="24" t="s">
        <v>0</v>
      </c>
      <c r="W5" s="24" t="s">
        <v>7</v>
      </c>
      <c r="X5" s="24" t="s">
        <v>8</v>
      </c>
      <c r="Y5" s="24" t="s">
        <v>10</v>
      </c>
      <c r="Z5" s="25" t="s">
        <v>1</v>
      </c>
    </row>
    <row r="6" spans="2:34" ht="15.75" x14ac:dyDescent="0.25">
      <c r="B6" s="12"/>
      <c r="C6" s="12"/>
      <c r="O6"/>
      <c r="P6"/>
      <c r="Q6"/>
      <c r="R6"/>
      <c r="S6"/>
      <c r="T6"/>
      <c r="U6" s="30">
        <v>7</v>
      </c>
      <c r="V6" s="31">
        <v>10</v>
      </c>
      <c r="W6" s="31">
        <v>110</v>
      </c>
      <c r="X6" s="31">
        <v>125</v>
      </c>
      <c r="Y6" s="31">
        <v>38</v>
      </c>
      <c r="Z6" s="32">
        <v>1.9</v>
      </c>
      <c r="AC6" s="1"/>
      <c r="AD6" s="1"/>
      <c r="AE6" s="1"/>
      <c r="AF6" s="1"/>
      <c r="AG6" s="1"/>
      <c r="AH6" s="1"/>
    </row>
    <row r="7" spans="2:34" ht="15.75" x14ac:dyDescent="0.25">
      <c r="B7" s="12"/>
      <c r="C7" s="12"/>
      <c r="N7"/>
      <c r="O7"/>
      <c r="P7"/>
      <c r="Q7"/>
      <c r="R7"/>
      <c r="S7"/>
      <c r="T7"/>
      <c r="AA7" s="1"/>
      <c r="AB7" s="1"/>
      <c r="AC7" s="1"/>
      <c r="AD7" s="1"/>
      <c r="AE7" s="1"/>
      <c r="AF7" s="1"/>
      <c r="AG7" s="1"/>
      <c r="AH7" s="1"/>
    </row>
    <row r="8" spans="2:34" ht="20.25" customHeight="1" x14ac:dyDescent="0.25">
      <c r="B8" s="13"/>
      <c r="C8" s="13"/>
      <c r="U8" s="36" t="s">
        <v>19</v>
      </c>
      <c r="V8" s="37" t="s">
        <v>20</v>
      </c>
      <c r="W8" s="37" t="s">
        <v>21</v>
      </c>
      <c r="X8" s="38" t="s">
        <v>22</v>
      </c>
    </row>
    <row r="9" spans="2:34" x14ac:dyDescent="0.25">
      <c r="B9" s="8" t="s">
        <v>12</v>
      </c>
      <c r="C9" s="9" t="s">
        <v>13</v>
      </c>
      <c r="D9" s="9" t="s">
        <v>14</v>
      </c>
      <c r="E9" s="10" t="s">
        <v>15</v>
      </c>
      <c r="F9" s="11" t="s">
        <v>16</v>
      </c>
      <c r="G9" s="6"/>
      <c r="L9" s="16"/>
      <c r="M9" s="16"/>
      <c r="U9" s="39" t="s">
        <v>26</v>
      </c>
      <c r="V9" s="42">
        <v>45667</v>
      </c>
      <c r="W9" s="40">
        <v>3025</v>
      </c>
      <c r="X9" s="41">
        <v>3</v>
      </c>
    </row>
    <row r="10" spans="2:34" s="16" customFormat="1" ht="57" x14ac:dyDescent="0.25">
      <c r="B10" s="44">
        <v>1</v>
      </c>
      <c r="C10" s="45" t="s">
        <v>33</v>
      </c>
      <c r="D10" s="20">
        <v>1</v>
      </c>
      <c r="E10" s="21">
        <v>2430</v>
      </c>
      <c r="F10" s="22">
        <f>OrcamentTbl[VALOR UNT.]*OrcamentTbl[QTDE]</f>
        <v>2430</v>
      </c>
      <c r="H10" s="18"/>
      <c r="I10" s="18"/>
      <c r="J10" s="18"/>
      <c r="K10" s="18"/>
      <c r="L10" s="18"/>
      <c r="M10" s="18"/>
      <c r="Y10" s="17"/>
      <c r="Z10" s="17"/>
      <c r="AA10" s="17"/>
      <c r="AB10" s="17"/>
      <c r="AC10" s="17"/>
      <c r="AD10" s="17"/>
      <c r="AE10" s="17"/>
      <c r="AF10" s="17"/>
      <c r="AG10" s="17"/>
      <c r="AH10" s="17"/>
    </row>
    <row r="11" spans="2:34" s="18" customFormat="1" ht="57" x14ac:dyDescent="0.25">
      <c r="B11" s="47">
        <v>2</v>
      </c>
      <c r="C11" s="48" t="s">
        <v>34</v>
      </c>
      <c r="D11" s="49">
        <v>1</v>
      </c>
      <c r="E11" s="50">
        <v>6345</v>
      </c>
      <c r="F11" s="51">
        <f>OrcamentTbl[VALOR UNT.]*OrcamentTbl[QTDE]</f>
        <v>6345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2:34" s="18" customFormat="1" ht="57" x14ac:dyDescent="0.25">
      <c r="B12" s="52">
        <v>3</v>
      </c>
      <c r="C12" s="53" t="s">
        <v>33</v>
      </c>
      <c r="D12" s="20">
        <v>1</v>
      </c>
      <c r="E12" s="21">
        <v>2430</v>
      </c>
      <c r="F12" s="22">
        <f>OrcamentTbl[VALOR UNT.]*OrcamentTbl[QTDE]</f>
        <v>2430</v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</row>
    <row r="13" spans="2:34" s="18" customFormat="1" ht="57" x14ac:dyDescent="0.25">
      <c r="B13" s="47">
        <v>4</v>
      </c>
      <c r="C13" s="48" t="s">
        <v>33</v>
      </c>
      <c r="D13" s="49">
        <v>1</v>
      </c>
      <c r="E13" s="50">
        <v>2430</v>
      </c>
      <c r="F13" s="51">
        <f>OrcamentTbl[VALOR UNT.]*OrcamentTbl[QTDE]</f>
        <v>2430</v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</row>
    <row r="14" spans="2:34" s="18" customFormat="1" ht="57" x14ac:dyDescent="0.25">
      <c r="B14" s="47">
        <v>5</v>
      </c>
      <c r="C14" s="48" t="s">
        <v>33</v>
      </c>
      <c r="D14" s="49">
        <v>1</v>
      </c>
      <c r="E14" s="50">
        <v>2430</v>
      </c>
      <c r="F14" s="51">
        <f>OrcamentTbl[VALOR UNT.]*OrcamentTbl[QTDE]</f>
        <v>2430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</row>
    <row r="15" spans="2:34" s="18" customFormat="1" ht="35.1" customHeight="1" x14ac:dyDescent="0.25">
      <c r="B15" s="59"/>
      <c r="C15" s="60" t="s">
        <v>17</v>
      </c>
      <c r="D15" s="61"/>
      <c r="E15" s="62"/>
      <c r="F15" s="63">
        <f>SUBTOTAL(109,OrcamentTbl[SUB TOTAL])</f>
        <v>16065</v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</row>
    <row r="16" spans="2:34" s="18" customFormat="1" x14ac:dyDescent="0.25">
      <c r="B16" s="56"/>
      <c r="C16" s="57"/>
      <c r="D16" s="57"/>
      <c r="E16" s="57"/>
      <c r="F16" s="57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</row>
    <row r="17" spans="2:34" s="18" customFormat="1" x14ac:dyDescent="0.25">
      <c r="B17" s="54"/>
      <c r="C17" s="54"/>
      <c r="D17" s="54"/>
      <c r="E17" s="54"/>
      <c r="F17" s="54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</row>
    <row r="18" spans="2:34" s="18" customFormat="1" ht="35.1" customHeight="1" x14ac:dyDescent="0.25">
      <c r="B18" s="1"/>
      <c r="C18" s="1"/>
      <c r="D18" s="1"/>
      <c r="E18" s="1"/>
      <c r="F18" s="7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</row>
    <row r="19" spans="2:34" s="18" customFormat="1" ht="35.1" customHeight="1" x14ac:dyDescent="0.25">
      <c r="B19" s="1"/>
      <c r="C19" s="1"/>
      <c r="D19" s="1"/>
      <c r="E19" s="1"/>
      <c r="F19" s="7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</row>
    <row r="20" spans="2:34" s="18" customFormat="1" ht="35.1" customHeight="1" x14ac:dyDescent="0.25">
      <c r="B20" s="1"/>
      <c r="C20" s="1"/>
      <c r="D20" s="1"/>
      <c r="E20" s="1"/>
      <c r="F20" s="43"/>
      <c r="M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</row>
    <row r="21" spans="2:34" s="18" customFormat="1" ht="35.1" customHeight="1" x14ac:dyDescent="0.25">
      <c r="B21" s="1"/>
      <c r="C21" s="1"/>
      <c r="D21" s="1"/>
      <c r="E21" s="1"/>
      <c r="F21" s="7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</row>
    <row r="22" spans="2:34" s="18" customFormat="1" ht="35.1" customHeight="1" x14ac:dyDescent="0.25">
      <c r="B22" s="1"/>
      <c r="C22" s="1"/>
      <c r="D22" s="1"/>
      <c r="E22" s="1"/>
      <c r="F22" s="7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</row>
    <row r="23" spans="2:34" s="18" customFormat="1" ht="35.1" customHeight="1" x14ac:dyDescent="0.25">
      <c r="B23" s="1"/>
      <c r="C23" s="1"/>
      <c r="D23" s="1"/>
      <c r="E23" s="1"/>
      <c r="F23" s="7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</row>
    <row r="24" spans="2:34" s="33" customFormat="1" ht="35.1" customHeight="1" x14ac:dyDescent="0.25">
      <c r="B24" s="1"/>
      <c r="C24" s="1"/>
      <c r="D24" s="1"/>
      <c r="E24" s="1"/>
      <c r="F24" s="7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</row>
  </sheetData>
  <sheetProtection algorithmName="SHA-512" hashValue="WOjrWV4n2LWN0N/Ip/w/eUpijp7Q6h0jDcEROx7MVt5ZhveakdiRH3cdKjPwjQaRWeuIid3O4Jlo1c4GA1ppgQ==" saltValue="9xteYSSiZcLqzWKTvLQ9YA==" spinCount="100000" sheet="1" objects="1" scenarios="1"/>
  <mergeCells count="5">
    <mergeCell ref="B17:F17"/>
    <mergeCell ref="E5:F5"/>
    <mergeCell ref="B16:F16"/>
    <mergeCell ref="E3:F3"/>
    <mergeCell ref="E4:F4"/>
  </mergeCells>
  <printOptions horizontalCentered="1"/>
  <pageMargins left="0.15748031496062992" right="0.15748031496062992" top="0.51181102362204722" bottom="0" header="0" footer="0"/>
  <pageSetup paperSize="9" scale="89" fitToHeight="0" orientation="portrait" r:id="rId1"/>
  <headerFooter scaleWithDoc="0">
    <oddHeader>&amp;L&amp;G</oddHeader>
    <oddFooter xml:space="preserve">&amp;CRua da Tiriva, 111 - Colombo/PR
41 3663-2544 / 41 99236-6192 / 41 99194-6985
moveisacquamob@gmail.com
</oddFooter>
  </headerFooter>
  <drawing r:id="rId2"/>
  <legacyDrawingHF r:id="rId3"/>
  <tableParts count="4"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3:B7"/>
  <sheetViews>
    <sheetView showGridLines="0" workbookViewId="0">
      <selection activeCell="G14" sqref="G14"/>
    </sheetView>
  </sheetViews>
  <sheetFormatPr defaultRowHeight="15" x14ac:dyDescent="0.25"/>
  <cols>
    <col min="2" max="2" width="17.42578125" customWidth="1"/>
  </cols>
  <sheetData>
    <row r="3" spans="2:2" x14ac:dyDescent="0.25">
      <c r="B3" t="s">
        <v>28</v>
      </c>
    </row>
    <row r="4" spans="2:2" x14ac:dyDescent="0.25">
      <c r="B4" t="s">
        <v>29</v>
      </c>
    </row>
    <row r="5" spans="2:2" x14ac:dyDescent="0.25">
      <c r="B5" t="s">
        <v>30</v>
      </c>
    </row>
    <row r="6" spans="2:2" x14ac:dyDescent="0.25">
      <c r="B6" t="s">
        <v>31</v>
      </c>
    </row>
    <row r="7" spans="2:2" x14ac:dyDescent="0.25">
      <c r="B7" t="s">
        <v>32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ORÇAMENTO</vt:lpstr>
      <vt:lpstr>Cadastro</vt:lpstr>
      <vt:lpstr>Planilha1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2025-01-10T19:52:58Z</cp:lastPrinted>
  <dcterms:created xsi:type="dcterms:W3CDTF">2024-06-20T11:26:17Z</dcterms:created>
  <dcterms:modified xsi:type="dcterms:W3CDTF">2025-03-14T12:52:25Z</dcterms:modified>
</cp:coreProperties>
</file>