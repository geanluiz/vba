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ORÇAMENTO!$B$1:$F$11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5" l="1"/>
  <c r="L14" i="5"/>
  <c r="L15" i="5"/>
  <c r="L12" i="5"/>
  <c r="F10" i="5" l="1"/>
  <c r="Z6" i="5" l="1"/>
  <c r="V3" i="5"/>
  <c r="F11" i="5" l="1"/>
</calcChain>
</file>

<file path=xl/sharedStrings.xml><?xml version="1.0" encoding="utf-8"?>
<sst xmlns="http://schemas.openxmlformats.org/spreadsheetml/2006/main" count="42" uniqueCount="42">
  <si>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</si>
  <si>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</si>
  <si>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</si>
  <si>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</si>
  <si>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</si>
  <si>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</si>
  <si>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</si>
  <si>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</si>
  <si>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</si>
  <si>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</si>
  <si>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</si>
  <si>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</si>
  <si>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</si>
  <si>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</si>
  <si>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</si>
  <si>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</si>
  <si>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</si>
  <si>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</si>
  <si>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</si>
  <si>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</si>
  <si>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</si>
  <si>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</si>
  <si>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</si>
  <si>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</si>
  <si>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</si>
  <si>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</si>
  <si>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</si>
  <si>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</si>
  <si>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</si>
  <si>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</si>
  <si>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</si>
  <si>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</si>
  <si>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</si>
  <si>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</si>
  <si>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</si>
  <si>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</si>
  <si>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t>t</t>
  </si>
  <si>
    <t>ORÇAMENTO Nº 3090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</si>
  <si>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</si>
  <si>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</si>
  <si>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t xml:space="preserve">CLIENTE: </t>
  </si>
  <si>
    <t>DATA: 07/11/2025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</si>
</sst>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44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44" fontId="9" fillId="0" borderId="2" xfId="0" applyNumberFormat="1" applyFont="1" applyFill="1" applyBorder="1" applyAlignment="1" applyProtection="1">
      <alignment horizontal="center" vertical="center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13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4</xdr:row>
      <xdr:rowOff>98425</xdr:rowOff>
    </xdr:from>
    <xdr:to>
      <xdr:col>9</xdr:col>
      <xdr:colOff>898525</xdr:colOff>
      <xdr:row>13</xdr:row>
      <xdr:rowOff>381000</xdr:rowOff>
    </xdr:to>
    <xdr:grpSp>
      <xdr:nvGrpSpPr>
        <xdr:cNvPr id="6" name="grupoBtns"/>
        <xdr:cNvGrpSpPr/>
      </xdr:nvGrpSpPr>
      <xdr:grpSpPr>
        <a:xfrm>
          <a:off x="8128000" y="889000"/>
          <a:ext cx="2867025" cy="30162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8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11" totalsRowCount="1" headerRowDxfId="57" dataDxfId="26" totalsRowDxfId="55" tableBorderDxfId="56" totalsRowBorderDxfId="54">
  <autoFilter ref="B9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5" totalsRowDxfId="31" dataCellStyle="Normal 2"/>
    <tableColumn id="2" name="DESCRIÇÃO" totalsRowLabel="TOTAL" dataDxfId="24" totalsRowDxfId="29" dataCellStyle="Normal 2"/>
    <tableColumn id="3" name="QTDE" dataDxfId="23" totalsRowDxfId="28" dataCellStyle="Normal 2"/>
    <tableColumn id="4" name="VALOR UNT." dataDxfId="21" totalsRowDxfId="27" dataCellStyle="Moeda 2"/>
    <tableColumn id="5" name="SUB TOTAL" totalsRowFunction="custom" dataDxfId="22" totalsRowDxfId="30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3" dataDxfId="4" tableBorderDxfId="52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1" dataDxfId="14" tableBorderDxfId="50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H2:K3" totalsRowShown="0" headerRowDxfId="49" dataDxfId="9" headerRowBorderDxfId="48" tableBorderDxfId="47" totalsRowBorderDxfId="46" headerRowCellStyle="Normal 2">
  <autoFilter ref="H2:K3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TABELA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5" dataDxfId="44" tableBorderDxfId="43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2" dataCellStyle="Moeda"/>
    <tableColumn id="4" name="Cinza Andorinha" dataDxfId="41" dataCellStyle="Moeda"/>
    <tableColumn id="5" name="Branco Itaúnas" dataDxfId="4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39" dataDxfId="38" tableBorderDxfId="37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6" dataCellStyle="Moeda"/>
    <tableColumn id="2" name="Redonda branca" dataDxfId="35" dataCellStyle="Moeda"/>
    <tableColumn id="3" name="Redonda Slim" dataDxfId="34" dataCellStyle="Moeda"/>
    <tableColumn id="4" name="Retangular" dataDxfId="33" dataCellStyle="Moeda"/>
    <tableColumn id="5" name="Retangular Slim" dataDxfId="3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H17" sqref="H17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36</v>
      </c>
    </row>
    <row r="2" spans="2:34" ht="15.75" customHeight="1" x14ac:dyDescent="0.25">
      <c r="B2" s="14"/>
      <c r="C2" s="14"/>
      <c r="D2" s="14"/>
      <c r="E2" s="14"/>
      <c r="F2" s="14"/>
      <c r="H2" s="33" t="s">
        <v>19</v>
      </c>
      <c r="I2" s="34" t="s">
        <v>20</v>
      </c>
      <c r="J2" s="34" t="s">
        <v>21</v>
      </c>
      <c r="K2" s="35" t="s">
        <v>39</v>
      </c>
      <c r="L2" s="32"/>
      <c r="U2" s="23" t="s">
        <v>18</v>
      </c>
      <c r="V2" s="24" t="s">
        <v>2</v>
      </c>
      <c r="W2" s="24" t="s">
        <v>3</v>
      </c>
      <c r="X2" s="24" t="s">
        <v>4</v>
      </c>
      <c r="Y2" s="24" t="s">
        <v>5</v>
      </c>
      <c r="Z2" s="24" t="s">
        <v>6</v>
      </c>
      <c r="AB2" s="43" t="s">
        <v>23</v>
      </c>
      <c r="AC2" s="43" t="s">
        <v>24</v>
      </c>
      <c r="AD2" s="43" t="s">
        <v>25</v>
      </c>
      <c r="AE2" s="43" t="s">
        <v>26</v>
      </c>
      <c r="AF2" s="43" t="s">
        <v>27</v>
      </c>
    </row>
    <row r="3" spans="2:34" ht="15.75" customHeight="1" x14ac:dyDescent="0.25">
      <c r="B3" s="14"/>
      <c r="C3" s="14"/>
      <c r="D3" s="14"/>
      <c r="E3" s="62" t="s">
        <v>40</v>
      </c>
      <c r="F3" s="62"/>
      <c r="H3" s="36"/>
      <c r="I3" s="39">
        <v>45968</v>
      </c>
      <c r="J3" s="37">
        <v>3090</v>
      </c>
      <c r="K3" s="38">
        <v>3</v>
      </c>
      <c r="L3" s="5"/>
      <c r="U3" s="25" t="s">
        <v>22</v>
      </c>
      <c r="V3" s="41">
        <f>1.22*2.44</f>
        <v>2.9767999999999999</v>
      </c>
      <c r="W3" s="26">
        <v>94.33</v>
      </c>
      <c r="X3" s="26">
        <v>177.82</v>
      </c>
      <c r="Y3" s="26">
        <v>283.01</v>
      </c>
      <c r="Z3" s="26">
        <v>377.34</v>
      </c>
      <c r="AB3" s="42" t="s">
        <v>28</v>
      </c>
      <c r="AC3" s="44">
        <v>140</v>
      </c>
      <c r="AD3" s="44">
        <v>295</v>
      </c>
      <c r="AE3" s="44">
        <v>150</v>
      </c>
      <c r="AF3" s="44">
        <v>270</v>
      </c>
    </row>
    <row r="4" spans="2:34" ht="15.75" customHeight="1" x14ac:dyDescent="0.25">
      <c r="D4" s="3"/>
      <c r="E4" s="62" t="s">
        <v>41</v>
      </c>
      <c r="F4" s="62"/>
      <c r="H4" s="32"/>
      <c r="I4" s="32"/>
      <c r="J4" s="32"/>
      <c r="K4" s="32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9" t="s">
        <v>37</v>
      </c>
      <c r="F5" s="59"/>
      <c r="L5" s="1"/>
      <c r="M5" s="18"/>
      <c r="U5" s="20" t="s">
        <v>9</v>
      </c>
      <c r="V5" s="21" t="s">
        <v>0</v>
      </c>
      <c r="W5" s="21" t="s">
        <v>7</v>
      </c>
      <c r="X5" s="21" t="s">
        <v>8</v>
      </c>
      <c r="Y5" s="21" t="s">
        <v>10</v>
      </c>
      <c r="Z5" s="22" t="s">
        <v>1</v>
      </c>
      <c r="AB5" s="45" t="s">
        <v>30</v>
      </c>
      <c r="AC5" s="47" t="s">
        <v>31</v>
      </c>
      <c r="AD5" s="46" t="s">
        <v>32</v>
      </c>
      <c r="AE5" s="46" t="s">
        <v>33</v>
      </c>
      <c r="AF5" s="46" t="s">
        <v>34</v>
      </c>
    </row>
    <row r="6" spans="2:34" ht="15.75" x14ac:dyDescent="0.25">
      <c r="B6" s="12"/>
      <c r="C6" s="12"/>
      <c r="O6"/>
      <c r="P6"/>
      <c r="Q6"/>
      <c r="R6"/>
      <c r="S6"/>
      <c r="T6"/>
      <c r="U6" s="27">
        <v>7</v>
      </c>
      <c r="V6" s="28">
        <v>10</v>
      </c>
      <c r="W6" s="28">
        <v>110</v>
      </c>
      <c r="X6" s="28">
        <v>135</v>
      </c>
      <c r="Y6" s="28">
        <v>135</v>
      </c>
      <c r="Z6" s="29">
        <f>1.9*1.1</f>
        <v>2.09</v>
      </c>
      <c r="AB6" s="42" t="s">
        <v>35</v>
      </c>
      <c r="AC6" s="44">
        <v>140</v>
      </c>
      <c r="AD6" s="44">
        <v>295</v>
      </c>
      <c r="AE6" s="44">
        <v>150</v>
      </c>
      <c r="AF6" s="44">
        <v>270</v>
      </c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51">
        <v>1</v>
      </c>
      <c r="C10" s="52" t="s">
        <v>38</v>
      </c>
      <c r="D10" s="53">
        <v>1</v>
      </c>
      <c r="E10" s="54">
        <v>1570</v>
      </c>
      <c r="F10" s="55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35.1" customHeight="1" x14ac:dyDescent="0.25">
      <c r="B11" s="56"/>
      <c r="C11" s="50" t="s">
        <v>17</v>
      </c>
      <c r="D11" s="48"/>
      <c r="E11" s="49"/>
      <c r="F11" s="63">
        <f>SUBTOTAL(109,OrcamentTbl[SUB TOTAL])</f>
        <v>1570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35.1" customHeight="1" x14ac:dyDescent="0.25">
      <c r="B12" s="60"/>
      <c r="C12" s="61"/>
      <c r="D12" s="61"/>
      <c r="E12" s="61"/>
      <c r="F12" s="61"/>
      <c r="L12" s="57" t="e">
        <f ca="1">(OrcamentTbl[[#This Row],[VALOR UNT.]]-OFFSET(OrcamentTbl[[#This Row],[VALOR UNT.]],-1,0))/OFFSET(OrcamentTbl[[#This Row],[VALOR UNT.]],-1,0)</f>
        <v>#VALUE!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35.1" customHeight="1" x14ac:dyDescent="0.25">
      <c r="B13" s="58"/>
      <c r="C13" s="58"/>
      <c r="D13" s="58"/>
      <c r="E13" s="58"/>
      <c r="F13" s="58"/>
      <c r="L13" s="57" t="e">
        <f ca="1">(OrcamentTbl[[#This Row],[VALOR UNT.]]-OFFSET(OrcamentTbl[[#This Row],[VALOR UNT.]],-1,0))/OFFSET(OrcamentTbl[[#This Row],[VALOR UNT.]],-1,0)</f>
        <v>#VALUE!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35.1" customHeight="1" x14ac:dyDescent="0.25">
      <c r="B14" s="1"/>
      <c r="C14" s="1"/>
      <c r="D14" s="1"/>
      <c r="E14" s="1"/>
      <c r="F14" s="7"/>
      <c r="L14" s="57" t="e">
        <f ca="1">(OrcamentTbl[[#This Row],[VALOR UNT.]]-OFFSET(OrcamentTbl[[#This Row],[VALOR UNT.]],-1,0))/OFFSET(OrcamentTbl[[#This Row],[VALOR UNT.]],-1,0)</f>
        <v>#VALUE!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x14ac:dyDescent="0.25">
      <c r="B15" s="1"/>
      <c r="C15" s="1"/>
      <c r="D15" s="1"/>
      <c r="E15" s="1"/>
      <c r="F15" s="7"/>
      <c r="L15" s="57" t="e">
        <f ca="1">(OrcamentTbl[[#This Row],[VALOR UNT.]]-OFFSET(OrcamentTbl[[#This Row],[VALOR UNT.]],-1,0))/OFFSET(OrcamentTbl[[#This Row],[VALOR UNT.]],-1,0)</f>
        <v>#VALUE!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x14ac:dyDescent="0.25">
      <c r="B16" s="1"/>
      <c r="C16" s="1"/>
      <c r="D16" s="1"/>
      <c r="E16" s="1"/>
      <c r="F16" s="40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35.1" customHeight="1" x14ac:dyDescent="0.25">
      <c r="B17" s="1"/>
      <c r="C17" s="1"/>
      <c r="D17" s="1"/>
      <c r="E17" s="1"/>
      <c r="F17" s="7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L22" s="30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1"/>
      <c r="C24" s="1"/>
      <c r="D24" s="1"/>
      <c r="E24" s="1"/>
      <c r="F24" s="7"/>
      <c r="L24" s="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</sheetData>
  <mergeCells count="5">
    <mergeCell ref="B13:F13"/>
    <mergeCell ref="E5:F5"/>
    <mergeCell ref="B12:F12"/>
    <mergeCell ref="E3:F3"/>
    <mergeCell ref="E4:F4"/>
  </mergeCells>
  <dataValidations count="1">
    <dataValidation type="whole" allowBlank="1" showInputMessage="1" showErrorMessage="1" errorTitle="Número inválido" error="Por favor, insira um número entre 1 e 5" sqref="K3">
      <formula1>1</formula1>
      <formula2>5</formula2>
    </dataValidation>
  </dataValidation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2025-11-07T17:05:40Z</dcterms:modified>
</cp:coreProperties>
</file>