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ORÇAMENTO!$B$1:$F$22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5" l="1"/>
  <c r="F20" i="5"/>
  <c r="M20" i="5" s="1"/>
  <c r="F19" i="5"/>
  <c r="M19" i="5" s="1"/>
  <c r="F18" i="5"/>
  <c r="M18" i="5" s="1"/>
  <c r="F17" i="5"/>
  <c r="F16" i="5"/>
  <c r="K16" i="5" s="1"/>
  <c r="F15" i="5"/>
  <c r="F14" i="5"/>
  <c r="F13" i="5"/>
  <c r="F12" i="5"/>
  <c r="F11" i="5"/>
  <c r="L13" i="5"/>
  <c r="L14" i="5"/>
  <c r="L15" i="5"/>
  <c r="L12" i="5"/>
  <c r="J17" i="5" l="1"/>
  <c r="K17" i="5" s="1"/>
  <c r="M17" i="5"/>
  <c r="J21" i="5"/>
  <c r="K21" i="5" s="1"/>
  <c r="M21" i="5"/>
  <c r="I18" i="5"/>
  <c r="J18" i="5"/>
  <c r="K18" i="5" s="1"/>
  <c r="J19" i="5"/>
  <c r="K19" i="5" s="1"/>
  <c r="L18" i="5"/>
  <c r="L20" i="5"/>
  <c r="I20" i="5"/>
  <c r="L19" i="5"/>
  <c r="I19" i="5"/>
  <c r="L17" i="5"/>
  <c r="I17" i="5"/>
  <c r="J20" i="5"/>
  <c r="K20" i="5" s="1"/>
  <c r="L21" i="5"/>
  <c r="I21" i="5"/>
  <c r="F10" i="5"/>
  <c r="N21" i="5" l="1"/>
  <c r="O21" i="5" s="1"/>
  <c r="P21" i="5" s="1"/>
  <c r="N20" i="5"/>
  <c r="O20" i="5" s="1"/>
  <c r="P20" i="5" s="1"/>
  <c r="N19" i="5"/>
  <c r="O19" i="5" s="1"/>
  <c r="P19" i="5" s="1"/>
  <c r="N17" i="5"/>
  <c r="O17" i="5" s="1"/>
  <c r="P17" i="5" s="1"/>
  <c r="N18" i="5"/>
  <c r="O18" i="5" s="1"/>
  <c r="P18" i="5" s="1"/>
  <c r="Z6" i="5"/>
  <c r="V3" i="5"/>
  <c r="F22" i="5" l="1"/>
</calcChain>
</file>

<file path=xl/sharedStrings.xml><?xml version="1.0" encoding="utf-8"?>
<sst xmlns="http://schemas.openxmlformats.org/spreadsheetml/2006/main" count="54" uniqueCount="44">
  <si>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</si>
  <si>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</si>
  <si>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</si>
  <si>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</si>
  <si>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</si>
  <si>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</si>
  <si>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</si>
  <si>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</si>
  <si>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</si>
  <si>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</si>
  <si>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</si>
  <si>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</si>
  <si>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</si>
  <si>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</si>
  <si>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</si>
  <si>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</si>
  <si>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</si>
  <si>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</si>
  <si>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</si>
  <si>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</si>
  <si>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</si>
  <si>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</si>
  <si>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</si>
  <si>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</si>
  <si>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</si>
  <si>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</si>
  <si>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</si>
  <si>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</si>
  <si>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</si>
  <si>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</si>
  <si>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</si>
  <si>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</si>
  <si>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</si>
  <si>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</si>
  <si>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</si>
  <si>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</si>
  <si>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t>t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</si>
  <si>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</si>
  <si>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</si>
  <si>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</si>
  <si>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GEAN</t>
  </si>
  <si>
    <t>CLIENTE: GEAN</t>
  </si>
  <si>
    <t>DATA: 11/11/2025</t>
  </si>
  <si>
    <t>ORÇAMENTO Nº 3092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</si>
</sst>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  <font>
      <sz val="11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44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0" fontId="19" fillId="0" borderId="2" xfId="0" applyNumberFormat="1" applyFont="1" applyFill="1" applyBorder="1" applyAlignment="1" applyProtection="1">
      <alignment horizontal="center" vertical="center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9</xdr:col>
      <xdr:colOff>898525</xdr:colOff>
      <xdr:row>11</xdr:row>
      <xdr:rowOff>390525</xdr:rowOff>
    </xdr:to>
    <xdr:grpSp>
      <xdr:nvGrpSpPr>
        <xdr:cNvPr id="6" name="grupoBtns"/>
        <xdr:cNvGrpSpPr/>
      </xdr:nvGrpSpPr>
      <xdr:grpSpPr>
        <a:xfrm>
          <a:off x="8128000" y="317500"/>
          <a:ext cx="2867025" cy="30162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8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22" totalsRowCount="1" headerRowDxfId="57" dataDxfId="56" totalsRowDxfId="54" tableBorderDxfId="55" totalsRowBorderDxfId="53">
  <autoFilter ref="B9:F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5" totalsRowDxfId="30" dataCellStyle="Normal 2"/>
    <tableColumn id="2" name="DESCRIÇÃO" totalsRowLabel="TOTAL" dataDxfId="24" totalsRowDxfId="28" dataCellStyle="Normal 2"/>
    <tableColumn id="3" name="QTDE" dataDxfId="23" totalsRowDxfId="27" dataCellStyle="Normal 2"/>
    <tableColumn id="4" name="VALOR UNT." dataDxfId="21" totalsRowDxfId="26" dataCellStyle="Moeda 2"/>
    <tableColumn id="5" name="SUB TOTAL" totalsRowFunction="custom" dataDxfId="22" totalsRowDxfId="29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2" dataDxfId="4" tableBorderDxfId="51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0" dataDxfId="14" tableBorderDxfId="49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48" dataDxfId="9" headerRowBorderDxfId="47" tableBorderDxfId="46" totalsRowBorderDxfId="45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TABELA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4" dataDxfId="43" tableBorderDxfId="42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1" dataCellStyle="Moeda"/>
    <tableColumn id="4" name="Cinza Andorinha" dataDxfId="40" dataCellStyle="Moeda"/>
    <tableColumn id="5" name="Branco Itaúnas" dataDxfId="39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38" dataDxfId="37" tableBorderDxfId="36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5" dataCellStyle="Moeda"/>
    <tableColumn id="2" name="Redonda branca" dataDxfId="34" dataCellStyle="Moeda"/>
    <tableColumn id="3" name="Redonda Slim" dataDxfId="33" dataCellStyle="Moeda"/>
    <tableColumn id="4" name="Retangular" dataDxfId="32" dataCellStyle="Moeda"/>
    <tableColumn id="5" name="Retangular Slim" dataDxfId="31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7"/>
  <sheetViews>
    <sheetView showGridLines="0" tabSelected="1" topLeftCell="E1" zoomScaleNormal="100" workbookViewId="0">
      <selection activeCell="L11" sqref="L1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36</v>
      </c>
    </row>
    <row r="2" spans="2:34" ht="15.75" customHeight="1" x14ac:dyDescent="0.25">
      <c r="B2" s="14"/>
      <c r="C2" s="14"/>
      <c r="D2" s="14"/>
      <c r="E2" s="14"/>
      <c r="F2" s="14"/>
      <c r="L2" s="32"/>
      <c r="U2" s="23" t="s">
        <v>18</v>
      </c>
      <c r="V2" s="24" t="s">
        <v>2</v>
      </c>
      <c r="W2" s="24" t="s">
        <v>3</v>
      </c>
      <c r="X2" s="24" t="s">
        <v>4</v>
      </c>
      <c r="Y2" s="24" t="s">
        <v>5</v>
      </c>
      <c r="Z2" s="24" t="s">
        <v>6</v>
      </c>
      <c r="AB2" s="43" t="s">
        <v>23</v>
      </c>
      <c r="AC2" s="43" t="s">
        <v>24</v>
      </c>
      <c r="AD2" s="43" t="s">
        <v>25</v>
      </c>
      <c r="AE2" s="43" t="s">
        <v>26</v>
      </c>
      <c r="AF2" s="43" t="s">
        <v>27</v>
      </c>
    </row>
    <row r="3" spans="2:34" ht="15.75" customHeight="1" x14ac:dyDescent="0.25">
      <c r="B3" s="14"/>
      <c r="C3" s="14"/>
      <c r="D3" s="14"/>
      <c r="E3" s="64" t="s">
        <v>41</v>
      </c>
      <c r="F3" s="64"/>
      <c r="L3" s="5"/>
      <c r="U3" s="25" t="s">
        <v>22</v>
      </c>
      <c r="V3" s="41">
        <f>1.22*2.44</f>
        <v>2.9767999999999999</v>
      </c>
      <c r="W3" s="26">
        <v>94.33</v>
      </c>
      <c r="X3" s="26">
        <v>177.82</v>
      </c>
      <c r="Y3" s="26">
        <v>283.01</v>
      </c>
      <c r="Z3" s="26">
        <v>377.34</v>
      </c>
      <c r="AB3" s="42" t="s">
        <v>28</v>
      </c>
      <c r="AC3" s="44">
        <v>140</v>
      </c>
      <c r="AD3" s="44">
        <v>295</v>
      </c>
      <c r="AE3" s="44">
        <v>150</v>
      </c>
      <c r="AF3" s="44">
        <v>270</v>
      </c>
    </row>
    <row r="4" spans="2:34" ht="15.75" customHeight="1" x14ac:dyDescent="0.25">
      <c r="D4" s="3"/>
      <c r="E4" s="64" t="s">
        <v>42</v>
      </c>
      <c r="F4" s="64"/>
      <c r="H4" s="32"/>
      <c r="I4" s="32"/>
      <c r="J4" s="32"/>
      <c r="K4" s="32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61" t="s">
        <v>43</v>
      </c>
      <c r="F5" s="61"/>
      <c r="L5" s="1"/>
      <c r="M5" s="18"/>
      <c r="U5" s="20" t="s">
        <v>9</v>
      </c>
      <c r="V5" s="21" t="s">
        <v>0</v>
      </c>
      <c r="W5" s="21" t="s">
        <v>7</v>
      </c>
      <c r="X5" s="21" t="s">
        <v>8</v>
      </c>
      <c r="Y5" s="21" t="s">
        <v>10</v>
      </c>
      <c r="Z5" s="22" t="s">
        <v>1</v>
      </c>
      <c r="AB5" s="45" t="s">
        <v>30</v>
      </c>
      <c r="AC5" s="47" t="s">
        <v>31</v>
      </c>
      <c r="AD5" s="46" t="s">
        <v>32</v>
      </c>
      <c r="AE5" s="46" t="s">
        <v>33</v>
      </c>
      <c r="AF5" s="46" t="s">
        <v>34</v>
      </c>
    </row>
    <row r="6" spans="2:34" ht="15.75" x14ac:dyDescent="0.25">
      <c r="B6" s="12"/>
      <c r="C6" s="12"/>
      <c r="O6"/>
      <c r="P6"/>
      <c r="Q6"/>
      <c r="R6"/>
      <c r="S6"/>
      <c r="T6"/>
      <c r="U6" s="27">
        <v>7</v>
      </c>
      <c r="V6" s="28">
        <v>10</v>
      </c>
      <c r="W6" s="28">
        <v>110</v>
      </c>
      <c r="X6" s="28">
        <v>135</v>
      </c>
      <c r="Y6" s="28">
        <v>135</v>
      </c>
      <c r="Z6" s="29">
        <f>1.9*1.1</f>
        <v>2.09</v>
      </c>
      <c r="AB6" s="42" t="s">
        <v>35</v>
      </c>
      <c r="AC6" s="44">
        <v>140</v>
      </c>
      <c r="AD6" s="44">
        <v>295</v>
      </c>
      <c r="AE6" s="44">
        <v>150</v>
      </c>
      <c r="AF6" s="44">
        <v>270</v>
      </c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29</v>
      </c>
      <c r="AH7" s="1"/>
    </row>
    <row r="8" spans="2:34" ht="20.25" customHeight="1" x14ac:dyDescent="0.25">
      <c r="B8" s="13"/>
      <c r="C8" s="13"/>
      <c r="L8" s="18"/>
      <c r="U8" s="33" t="s">
        <v>19</v>
      </c>
      <c r="V8" s="34" t="s">
        <v>20</v>
      </c>
      <c r="W8" s="34" t="s">
        <v>21</v>
      </c>
      <c r="X8" s="35" t="s">
        <v>38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  <c r="U9" s="36" t="s">
        <v>40</v>
      </c>
      <c r="V9" s="39">
        <v>45972</v>
      </c>
      <c r="W9" s="37">
        <v>3092</v>
      </c>
      <c r="X9" s="38">
        <v>4</v>
      </c>
    </row>
    <row r="10" spans="2:34" s="16" customFormat="1" ht="29.25" x14ac:dyDescent="0.25">
      <c r="B10" s="51">
        <v>1</v>
      </c>
      <c r="C10" s="52" t="s">
        <v>37</v>
      </c>
      <c r="D10" s="53">
        <v>1</v>
      </c>
      <c r="E10" s="54">
        <v>1570</v>
      </c>
      <c r="F10" s="55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51">
        <v>2</v>
      </c>
      <c r="C11" s="52" t="s">
        <v>39</v>
      </c>
      <c r="D11" s="53">
        <v>1</v>
      </c>
      <c r="E11" s="54">
        <v>2792.087158203125</v>
      </c>
      <c r="F11" s="55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51">
        <v>3</v>
      </c>
      <c r="C12" s="52" t="s">
        <v>39</v>
      </c>
      <c r="D12" s="53">
        <v>1</v>
      </c>
      <c r="E12" s="54">
        <v>2850.259765625</v>
      </c>
      <c r="F12" s="55">
        <f>OrcamentTbl[VALOR UNT.]*OrcamentTbl[QTDE]</f>
        <v>2850.259765625</v>
      </c>
      <c r="L12" s="56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51">
        <v>4</v>
      </c>
      <c r="C13" s="52" t="s">
        <v>39</v>
      </c>
      <c r="D13" s="53">
        <v>1</v>
      </c>
      <c r="E13" s="54">
        <v>2910.894775390625</v>
      </c>
      <c r="F13" s="55">
        <f>OrcamentTbl[VALOR UNT.]*OrcamentTbl[QTDE]</f>
        <v>2910.894775390625</v>
      </c>
      <c r="L13" s="56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51">
        <v>5</v>
      </c>
      <c r="C14" s="52" t="s">
        <v>39</v>
      </c>
      <c r="D14" s="53">
        <v>1</v>
      </c>
      <c r="E14" s="54">
        <v>2974.18408203125</v>
      </c>
      <c r="F14" s="55">
        <f>OrcamentTbl[VALOR UNT.]*OrcamentTbl[QTDE]</f>
        <v>2974.18408203125</v>
      </c>
      <c r="L14" s="56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51">
        <v>6</v>
      </c>
      <c r="C15" s="52" t="s">
        <v>39</v>
      </c>
      <c r="D15" s="53">
        <v>1</v>
      </c>
      <c r="E15" s="54">
        <v>3040.26416015625</v>
      </c>
      <c r="F15" s="55">
        <f>OrcamentTbl[VALOR UNT.]*OrcamentTbl[QTDE]</f>
        <v>3040.26416015625</v>
      </c>
      <c r="L15" s="56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51">
        <v>7</v>
      </c>
      <c r="C16" s="52" t="s">
        <v>39</v>
      </c>
      <c r="D16" s="53">
        <v>1</v>
      </c>
      <c r="E16" s="54">
        <v>2736.240478515625</v>
      </c>
      <c r="F16" s="55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51">
        <v>8</v>
      </c>
      <c r="C17" s="52" t="s">
        <v>39</v>
      </c>
      <c r="D17" s="53">
        <v>1</v>
      </c>
      <c r="E17" s="54">
        <v>2792.087158203125</v>
      </c>
      <c r="F17" s="55">
        <f>OrcamentTbl[VALOR UNT.]*OrcamentTbl[QTDE]</f>
        <v>2792.087158203125</v>
      </c>
      <c r="I17" s="56">
        <f>(OrcamentTbl[[#This Row],[SUB TOTAL]]-$F$16)/$F$16</f>
        <v>2.0410004210520305E-2</v>
      </c>
      <c r="J17" s="18">
        <f>OrcamentTbl[[#This Row],[SUB TOTAL]]*0.02</f>
        <v>55.8417431640625</v>
      </c>
      <c r="K17" s="59">
        <f>OrcamentTbl[[#This Row],[SUB TOTAL]]-J17</f>
        <v>2736.2454150390627</v>
      </c>
      <c r="L17" s="58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56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51">
        <v>9</v>
      </c>
      <c r="C18" s="52" t="s">
        <v>39</v>
      </c>
      <c r="D18" s="53">
        <v>1</v>
      </c>
      <c r="E18" s="54">
        <v>2850.259765625</v>
      </c>
      <c r="F18" s="55">
        <f>OrcamentTbl[VALOR UNT.]*OrcamentTbl[QTDE]</f>
        <v>2850.259765625</v>
      </c>
      <c r="I18" s="56">
        <f>(OrcamentTbl[[#This Row],[SUB TOTAL]]-$F$16)/$F$16</f>
        <v>4.1670053492969664E-2</v>
      </c>
      <c r="J18" s="18">
        <f>OrcamentTbl[[#This Row],[SUB TOTAL]]*0.04</f>
        <v>114.010390625</v>
      </c>
      <c r="K18" s="59">
        <f>OrcamentTbl[[#This Row],[SUB TOTAL]]-J18</f>
        <v>2736.2493749999999</v>
      </c>
      <c r="L18" s="58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 t="shared" ref="N18:N21" si="0">M18-J18</f>
        <v>2425.5710605468748</v>
      </c>
      <c r="O18" s="18">
        <f t="shared" ref="O18:O21" si="1">N18-$K$16</f>
        <v>-12.419205810547282</v>
      </c>
      <c r="P18" s="56">
        <f t="shared" ref="P18:P21" si="2"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51">
        <v>10</v>
      </c>
      <c r="C19" s="52" t="s">
        <v>39</v>
      </c>
      <c r="D19" s="53">
        <v>1</v>
      </c>
      <c r="E19" s="54">
        <v>2910.894775390625</v>
      </c>
      <c r="F19" s="55">
        <f>OrcamentTbl[VALOR UNT.]*OrcamentTbl[QTDE]</f>
        <v>2910.894775390625</v>
      </c>
      <c r="I19" s="56">
        <f>(OrcamentTbl[[#This Row],[SUB TOTAL]]-$F$16)/$F$16</f>
        <v>6.3830024534154872E-2</v>
      </c>
      <c r="J19" s="18">
        <f>OrcamentTbl[[#This Row],[SUB TOTAL]]*0.06</f>
        <v>174.6536865234375</v>
      </c>
      <c r="K19" s="59">
        <f>OrcamentTbl[[#This Row],[SUB TOTAL]]-J19</f>
        <v>2736.2410888671875</v>
      </c>
      <c r="L19" s="58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 t="shared" si="0"/>
        <v>2418.9535583496095</v>
      </c>
      <c r="O19" s="18">
        <f t="shared" si="1"/>
        <v>-19.036708007812649</v>
      </c>
      <c r="P19" s="56">
        <f t="shared" si="2"/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51">
        <v>11</v>
      </c>
      <c r="C20" s="52" t="s">
        <v>39</v>
      </c>
      <c r="D20" s="53">
        <v>1</v>
      </c>
      <c r="E20" s="54">
        <v>2974.18408203125</v>
      </c>
      <c r="F20" s="55">
        <f>OrcamentTbl[VALOR UNT.]*OrcamentTbl[QTDE]</f>
        <v>2974.18408203125</v>
      </c>
      <c r="I20" s="56">
        <f>(OrcamentTbl[[#This Row],[SUB TOTAL]]-$F$16)/$F$16</f>
        <v>8.6960048060069017E-2</v>
      </c>
      <c r="J20" s="18">
        <f>OrcamentTbl[[#This Row],[SUB TOTAL]]*0.08</f>
        <v>237.9347265625</v>
      </c>
      <c r="K20" s="59">
        <f>OrcamentTbl[[#This Row],[SUB TOTAL]]-J20</f>
        <v>2736.2493554687499</v>
      </c>
      <c r="L20" s="58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 t="shared" si="0"/>
        <v>2412.0632905273437</v>
      </c>
      <c r="O20" s="18">
        <f t="shared" si="1"/>
        <v>-25.926975830078391</v>
      </c>
      <c r="P20" s="56">
        <f t="shared" si="2"/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51">
        <v>12</v>
      </c>
      <c r="C21" s="52" t="s">
        <v>39</v>
      </c>
      <c r="D21" s="53">
        <v>1</v>
      </c>
      <c r="E21" s="54">
        <v>3040.26416015625</v>
      </c>
      <c r="F21" s="55">
        <f>OrcamentTbl[VALOR UNT.]*OrcamentTbl[QTDE]</f>
        <v>3040.26416015625</v>
      </c>
      <c r="I21" s="56">
        <f>(OrcamentTbl[[#This Row],[SUB TOTAL]]-$F$16)/$F$16</f>
        <v>0.11111000075751891</v>
      </c>
      <c r="J21" s="18">
        <f>OrcamentTbl[[#This Row],[SUB TOTAL]]*0.1</f>
        <v>304.02641601562499</v>
      </c>
      <c r="K21" s="59">
        <f>OrcamentTbl[[#This Row],[SUB TOTAL]]-J21</f>
        <v>2736.2377441406252</v>
      </c>
      <c r="L21" s="58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 t="shared" si="0"/>
        <v>2404.848950683594</v>
      </c>
      <c r="O21" s="18">
        <f t="shared" si="1"/>
        <v>-33.141315673828103</v>
      </c>
      <c r="P21" s="56">
        <f t="shared" si="2"/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65"/>
      <c r="C22" s="50" t="s">
        <v>17</v>
      </c>
      <c r="D22" s="48"/>
      <c r="E22" s="49"/>
      <c r="F22" s="57">
        <f>SUBTOTAL(109,OrcamentTbl[SUB TOTAL])</f>
        <v>33441.620361328125</v>
      </c>
      <c r="L22" s="30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2"/>
      <c r="C23" s="63"/>
      <c r="D23" s="63"/>
      <c r="E23" s="63"/>
      <c r="F23" s="63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60"/>
      <c r="C24" s="60"/>
      <c r="D24" s="60"/>
      <c r="E24" s="60"/>
      <c r="F24" s="60"/>
      <c r="L24" s="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7" spans="2:34" x14ac:dyDescent="0.25">
      <c r="F27" s="40"/>
    </row>
  </sheetData>
  <mergeCells count="5">
    <mergeCell ref="B24:F24"/>
    <mergeCell ref="E5:F5"/>
    <mergeCell ref="B23:F23"/>
    <mergeCell ref="E3:F3"/>
    <mergeCell ref="E4:F4"/>
  </mergeCells>
  <dataValidations count="1">
    <dataValidation type="whole" allowBlank="1" showInputMessage="1" showErrorMessage="1" errorTitle="Número inválido" error="Por favor, insira um número entre 1 e 5" sqref="X9">
      <formula1>1</formula1>
      <formula2>5</formula2>
    </dataValidation>
  </dataValidation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2025-11-11T19:39:48Z</dcterms:modified>
</cp:coreProperties>
</file>