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\\wsl.localhost\Ubuntu\home\laumarq\codeFiles\vba\"/>
    </mc:Choice>
  </mc:AlternateContent>
  <bookViews>
    <workbookView xWindow="0" yWindow="0" windowWidth="28800" windowHeight="12330"/>
  </bookViews>
  <sheets>
    <sheet name="ORÇAMENTO" sheetId="5" r:id="rId1"/>
    <sheet name="Cadastro" sheetId="7" state="veryHidden" r:id="rId2"/>
  </sheets>
  <functionGroups builtInGroupCount="18"/>
  <definedNames>
    <definedName name="ainf">#REF!</definedName>
    <definedName name="_xlnm.Print_Area" localSheetId="0">ORÇAMENTO!$B$1:$F$22</definedName>
    <definedName name="asup">#REF!</definedName>
    <definedName name="linf">#REF!</definedName>
    <definedName name="lsup">#REF!</definedName>
    <definedName name="pinf">#REF!</definedName>
    <definedName name="psup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2" i="5" l="1"/>
  <c r="G6" i="7" l="1"/>
  <c r="C3" i="7"/>
  <c r="F21" i="5" l="1"/>
  <c r="F20" i="5"/>
  <c r="M20" i="5" s="1"/>
  <c r="F19" i="5"/>
  <c r="M19" i="5" s="1"/>
  <c r="F18" i="5"/>
  <c r="M18" i="5" s="1"/>
  <c r="F17" i="5"/>
  <c r="F16" i="5"/>
  <c r="K16" i="5" s="1"/>
  <c r="F15" i="5"/>
  <c r="F14" i="5"/>
  <c r="F13" i="5"/>
  <c r="F12" i="5"/>
  <c r="F11" i="5"/>
  <c r="L13" i="5"/>
  <c r="L14" i="5"/>
  <c r="L15" i="5"/>
  <c r="J17" i="5" l="1"/>
  <c r="K17" i="5" s="1"/>
  <c r="M17" i="5"/>
  <c r="J21" i="5"/>
  <c r="K21" i="5" s="1"/>
  <c r="M21" i="5"/>
  <c r="I18" i="5"/>
  <c r="J18" i="5"/>
  <c r="K18" i="5" s="1"/>
  <c r="J19" i="5"/>
  <c r="K19" i="5" s="1"/>
  <c r="L18" i="5"/>
  <c r="L20" i="5"/>
  <c r="I20" i="5"/>
  <c r="L19" i="5"/>
  <c r="I19" i="5"/>
  <c r="L17" i="5"/>
  <c r="I17" i="5"/>
  <c r="J20" i="5"/>
  <c r="K20" i="5" s="1"/>
  <c r="L21" i="5"/>
  <c r="I21" i="5"/>
  <c r="F10" i="5"/>
  <c r="N21" i="5" l="1"/>
  <c r="O21" i="5" s="1"/>
  <c r="P21" i="5" s="1"/>
  <c r="N20" i="5"/>
  <c r="O20" i="5" s="1"/>
  <c r="P20" i="5" s="1"/>
  <c r="N19" i="5"/>
  <c r="O19" i="5" s="1"/>
  <c r="P19" i="5" s="1"/>
  <c r="N17" i="5"/>
  <c r="O17" i="5" s="1"/>
  <c r="P17" i="5" s="1"/>
  <c r="N18" i="5"/>
  <c r="O18" i="5" s="1"/>
  <c r="P18" i="5" s="1"/>
  <c r="F22" i="5" l="1"/>
</calcChain>
</file>

<file path=xl/sharedStrings.xml><?xml version="1.0" encoding="utf-8"?>
<sst xmlns="http://schemas.openxmlformats.org/spreadsheetml/2006/main" count="53" uniqueCount="43">
  <si>
    <t>PUXADOR</t>
  </si>
  <si>
    <t>PÉ</t>
  </si>
  <si>
    <t>m²</t>
  </si>
  <si>
    <t>5mm</t>
  </si>
  <si>
    <t>10mm</t>
  </si>
  <si>
    <t>15mm</t>
  </si>
  <si>
    <t>20mm</t>
  </si>
  <si>
    <t>TINTA m²</t>
  </si>
  <si>
    <t>ESPELHO m²</t>
  </si>
  <si>
    <t>DOBRADIÇA</t>
  </si>
  <si>
    <t>CORREDIÇA</t>
  </si>
  <si>
    <t xml:space="preserve">                                                                      </t>
  </si>
  <si>
    <t>ITEM</t>
  </si>
  <si>
    <t>DESCRIÇÃO</t>
  </si>
  <si>
    <t>QTDE</t>
  </si>
  <si>
    <t>VALOR UNT.</t>
  </si>
  <si>
    <t>SUB TOTAL</t>
  </si>
  <si>
    <t>TOTAL</t>
  </si>
  <si>
    <t>CUSTOS</t>
  </si>
  <si>
    <t>CLIENTE</t>
  </si>
  <si>
    <t>DATA</t>
  </si>
  <si>
    <t>Nº</t>
  </si>
  <si>
    <t>CHAPA</t>
  </si>
  <si>
    <t>Cores granito</t>
  </si>
  <si>
    <t>Verde Labrador</t>
  </si>
  <si>
    <t>Preto São Gabriel</t>
  </si>
  <si>
    <t>Cinza Andorinha</t>
  </si>
  <si>
    <t>Branco Itaúnas</t>
  </si>
  <si>
    <t>Custo m²</t>
  </si>
  <si>
    <t>.</t>
  </si>
  <si>
    <t>Cubas</t>
  </si>
  <si>
    <t>Redonda branca</t>
  </si>
  <si>
    <t>Redonda Slim</t>
  </si>
  <si>
    <t>Retangular</t>
  </si>
  <si>
    <t>Retangular Slim</t>
  </si>
  <si>
    <t>Custo un</t>
  </si>
  <si>
    <r>
      <t xml:space="preserve">BANHEIRO: </t>
    </r>
    <r>
      <rPr>
        <sz val="11"/>
        <rFont val="Arial"/>
        <family val="2"/>
      </rPr>
      <t>Balcão a prova dagua pintado med. 80x70x45cm com 2 portas com moldura e almofada e ferragens em inox.</t>
    </r>
  </si>
  <si>
    <t>TABELA</t>
  </si>
  <si>
    <r>
      <t xml:space="preserve">BANHEIRO: </t>
    </r>
    <r>
      <rPr>
        <sz val="11"/>
        <rFont val="Arial"/>
        <family val="2"/>
      </rPr>
      <t>Armário suspenso a prova dagua pintado na cor Branca med. 80x80x17cm com 1 porta, molduras, espelho e ferragens em inox e; Balcão a prova dagua pintado na cor Branca med. 80x70x50cm com 2 portas com moldura e almofada e ferragens em inox.</t>
    </r>
  </si>
  <si>
    <t>DATA: 11/11/2025</t>
  </si>
  <si>
    <t>ORÇAMENTO Nº 3092</t>
  </si>
  <si>
    <t>GEAN L</t>
  </si>
  <si>
    <t>CLIENTE: GEAN 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</si>
</sst>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R$&quot;\ * #,##0.00_-;\-&quot;R$&quot;\ * #,##0.00_-;_-&quot;R$&quot;\ * &quot;-&quot;??_-;_-@_-"/>
    <numFmt numFmtId="164" formatCode="0.0%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b/>
      <sz val="22"/>
      <color rgb="FF000000"/>
      <name val="Arial"/>
      <family val="2"/>
    </font>
    <font>
      <sz val="18"/>
      <color rgb="FF000000"/>
      <name val="Arial"/>
      <family val="2"/>
    </font>
    <font>
      <sz val="11"/>
      <color rgb="FF000000"/>
      <name val="Arial"/>
      <family val="2"/>
    </font>
    <font>
      <sz val="11"/>
      <color theme="1"/>
      <name val="Arial"/>
      <family val="2"/>
    </font>
    <font>
      <b/>
      <sz val="11"/>
      <name val="Arial"/>
      <family val="2"/>
    </font>
    <font>
      <b/>
      <sz val="12"/>
      <color rgb="FF002060"/>
      <name val="Calibri"/>
      <family val="2"/>
      <scheme val="minor"/>
    </font>
    <font>
      <b/>
      <sz val="11"/>
      <color theme="1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4" tint="0.39997558519241921"/>
      <name val="Calibri"/>
      <family val="2"/>
      <scheme val="minor"/>
    </font>
    <font>
      <sz val="1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1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/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6" fillId="0" borderId="0" applyNumberFormat="0" applyFill="0" applyBorder="0" applyAlignment="0" applyProtection="0"/>
  </cellStyleXfs>
  <cellXfs count="66">
    <xf numFmtId="0" fontId="0" fillId="0" borderId="0" xfId="0"/>
    <xf numFmtId="0" fontId="4" fillId="0" borderId="0" xfId="2"/>
    <xf numFmtId="44" fontId="0" fillId="0" borderId="0" xfId="3" applyFont="1" applyFill="1" applyBorder="1"/>
    <xf numFmtId="0" fontId="6" fillId="0" borderId="0" xfId="2" applyFont="1" applyAlignment="1">
      <alignment vertical="center"/>
    </xf>
    <xf numFmtId="0" fontId="2" fillId="0" borderId="0" xfId="2" applyFont="1"/>
    <xf numFmtId="0" fontId="7" fillId="0" borderId="0" xfId="2" applyFont="1"/>
    <xf numFmtId="0" fontId="4" fillId="0" borderId="4" xfId="2" applyBorder="1"/>
    <xf numFmtId="44" fontId="0" fillId="0" borderId="0" xfId="3" applyFont="1"/>
    <xf numFmtId="0" fontId="3" fillId="2" borderId="0" xfId="2" applyFont="1" applyFill="1" applyAlignment="1">
      <alignment horizontal="center" vertical="center"/>
    </xf>
    <xf numFmtId="0" fontId="3" fillId="2" borderId="6" xfId="2" applyFont="1" applyFill="1" applyBorder="1" applyAlignment="1">
      <alignment horizontal="center" vertical="center"/>
    </xf>
    <xf numFmtId="49" fontId="3" fillId="2" borderId="6" xfId="2" applyNumberFormat="1" applyFont="1" applyFill="1" applyBorder="1" applyAlignment="1">
      <alignment horizontal="center" vertical="center"/>
    </xf>
    <xf numFmtId="44" fontId="3" fillId="2" borderId="6" xfId="3" applyFont="1" applyFill="1" applyBorder="1" applyAlignment="1">
      <alignment horizontal="center" vertical="center"/>
    </xf>
    <xf numFmtId="0" fontId="10" fillId="0" borderId="0" xfId="2" applyFont="1" applyAlignment="1">
      <alignment vertical="top"/>
    </xf>
    <xf numFmtId="0" fontId="10" fillId="0" borderId="0" xfId="2" applyFont="1" applyBorder="1" applyAlignment="1">
      <alignment vertical="top"/>
    </xf>
    <xf numFmtId="0" fontId="5" fillId="0" borderId="0" xfId="2" applyFont="1" applyAlignment="1">
      <alignment vertical="center"/>
    </xf>
    <xf numFmtId="0" fontId="4" fillId="0" borderId="0" xfId="2" applyProtection="1">
      <protection locked="0"/>
    </xf>
    <xf numFmtId="0" fontId="4" fillId="0" borderId="0" xfId="2" applyFill="1"/>
    <xf numFmtId="0" fontId="0" fillId="0" borderId="0" xfId="0" applyFill="1"/>
    <xf numFmtId="0" fontId="4" fillId="0" borderId="0" xfId="2" applyFill="1" applyProtection="1"/>
    <xf numFmtId="0" fontId="0" fillId="0" borderId="0" xfId="0" applyFill="1" applyProtection="1"/>
    <xf numFmtId="0" fontId="13" fillId="0" borderId="3" xfId="0" applyFont="1" applyFill="1" applyBorder="1" applyAlignment="1">
      <alignment horizontal="center" vertical="center"/>
    </xf>
    <xf numFmtId="0" fontId="13" fillId="0" borderId="5" xfId="0" applyFont="1" applyFill="1" applyBorder="1" applyAlignment="1">
      <alignment horizontal="center" vertical="center"/>
    </xf>
    <xf numFmtId="0" fontId="13" fillId="0" borderId="4" xfId="0" applyFont="1" applyFill="1" applyBorder="1" applyAlignment="1">
      <alignment horizontal="center" vertical="center"/>
    </xf>
    <xf numFmtId="0" fontId="12" fillId="0" borderId="0" xfId="0" applyFont="1" applyFill="1" applyAlignment="1">
      <alignment horizontal="right"/>
    </xf>
    <xf numFmtId="0" fontId="13" fillId="0" borderId="0" xfId="0" applyFont="1" applyFill="1" applyAlignment="1">
      <alignment horizontal="right"/>
    </xf>
    <xf numFmtId="0" fontId="13" fillId="0" borderId="0" xfId="0" applyFont="1" applyFill="1" applyBorder="1" applyAlignment="1" applyProtection="1">
      <alignment horizontal="right"/>
    </xf>
    <xf numFmtId="44" fontId="13" fillId="0" borderId="0" xfId="1" applyFont="1" applyFill="1" applyBorder="1" applyProtection="1">
      <protection locked="0"/>
    </xf>
    <xf numFmtId="44" fontId="13" fillId="0" borderId="3" xfId="1" applyFont="1" applyBorder="1" applyAlignment="1" applyProtection="1">
      <alignment horizontal="center" vertical="center"/>
      <protection locked="0"/>
    </xf>
    <xf numFmtId="44" fontId="13" fillId="0" borderId="5" xfId="1" applyFont="1" applyBorder="1" applyAlignment="1" applyProtection="1">
      <alignment horizontal="center" vertical="center"/>
      <protection locked="0"/>
    </xf>
    <xf numFmtId="44" fontId="13" fillId="0" borderId="4" xfId="1" applyFont="1" applyBorder="1" applyAlignment="1" applyProtection="1">
      <alignment horizontal="center" vertical="center"/>
      <protection locked="0"/>
    </xf>
    <xf numFmtId="0" fontId="4" fillId="0" borderId="0" xfId="2" applyProtection="1"/>
    <xf numFmtId="0" fontId="0" fillId="0" borderId="0" xfId="0" applyProtection="1"/>
    <xf numFmtId="0" fontId="7" fillId="0" borderId="0" xfId="2" applyFont="1" applyProtection="1"/>
    <xf numFmtId="0" fontId="14" fillId="0" borderId="9" xfId="2" applyFont="1" applyFill="1" applyBorder="1" applyAlignment="1">
      <alignment horizontal="center"/>
    </xf>
    <xf numFmtId="0" fontId="14" fillId="0" borderId="10" xfId="2" applyFont="1" applyFill="1" applyBorder="1" applyAlignment="1">
      <alignment horizontal="center"/>
    </xf>
    <xf numFmtId="0" fontId="14" fillId="0" borderId="8" xfId="2" applyFont="1" applyFill="1" applyBorder="1" applyAlignment="1">
      <alignment horizontal="center"/>
    </xf>
    <xf numFmtId="0" fontId="4" fillId="0" borderId="1" xfId="2" applyFill="1" applyBorder="1" applyAlignment="1" applyProtection="1">
      <alignment horizontal="left" vertical="center"/>
      <protection locked="0"/>
    </xf>
    <xf numFmtId="0" fontId="4" fillId="0" borderId="11" xfId="2" applyFill="1" applyBorder="1" applyAlignment="1" applyProtection="1">
      <alignment horizontal="center" vertical="center"/>
      <protection locked="0"/>
    </xf>
    <xf numFmtId="1" fontId="4" fillId="0" borderId="7" xfId="2" applyNumberFormat="1" applyFill="1" applyBorder="1" applyAlignment="1" applyProtection="1">
      <alignment horizontal="center" vertical="center"/>
      <protection locked="0"/>
    </xf>
    <xf numFmtId="14" fontId="7" fillId="0" borderId="11" xfId="2" applyNumberFormat="1" applyFont="1" applyFill="1" applyBorder="1" applyAlignment="1" applyProtection="1">
      <alignment horizontal="center" vertical="center"/>
      <protection locked="0"/>
    </xf>
    <xf numFmtId="44" fontId="1" fillId="0" borderId="0" xfId="3" applyFont="1"/>
    <xf numFmtId="0" fontId="13" fillId="0" borderId="0" xfId="0" applyFont="1" applyFill="1" applyBorder="1" applyProtection="1">
      <protection locked="0"/>
    </xf>
    <xf numFmtId="44" fontId="15" fillId="0" borderId="0" xfId="1" applyFont="1" applyFill="1" applyBorder="1" applyAlignment="1" applyProtection="1">
      <alignment horizontal="right"/>
    </xf>
    <xf numFmtId="0" fontId="15" fillId="0" borderId="0" xfId="0" applyFont="1" applyFill="1" applyAlignment="1">
      <alignment horizontal="right"/>
    </xf>
    <xf numFmtId="44" fontId="15" fillId="0" borderId="0" xfId="1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Alignment="1" applyProtection="1">
      <alignment horizontal="right"/>
    </xf>
    <xf numFmtId="0" fontId="17" fillId="0" borderId="0" xfId="5" applyFont="1" applyFill="1" applyAlignment="1" applyProtection="1">
      <alignment horizontal="right"/>
    </xf>
    <xf numFmtId="0" fontId="16" fillId="0" borderId="0" xfId="5" applyFill="1" applyAlignment="1" applyProtection="1">
      <alignment horizontal="right"/>
    </xf>
    <xf numFmtId="0" fontId="8" fillId="0" borderId="2" xfId="2" applyNumberFormat="1" applyFont="1" applyFill="1" applyBorder="1" applyAlignment="1" applyProtection="1">
      <alignment horizontal="center" vertical="center"/>
    </xf>
    <xf numFmtId="0" fontId="9" fillId="0" borderId="2" xfId="2" applyFont="1" applyFill="1" applyBorder="1" applyAlignment="1" applyProtection="1">
      <alignment horizontal="left" vertical="center" wrapText="1"/>
      <protection locked="0"/>
    </xf>
    <xf numFmtId="0" fontId="8" fillId="0" borderId="2" xfId="2" applyNumberFormat="1" applyFont="1" applyFill="1" applyBorder="1" applyAlignment="1" applyProtection="1">
      <alignment horizontal="center" vertical="center"/>
      <protection locked="0"/>
    </xf>
    <xf numFmtId="44" fontId="8" fillId="0" borderId="2" xfId="3" applyNumberFormat="1" applyFont="1" applyFill="1" applyBorder="1" applyAlignment="1" applyProtection="1">
      <alignment horizontal="center" vertical="center"/>
      <protection locked="0"/>
    </xf>
    <xf numFmtId="44" fontId="18" fillId="0" borderId="2" xfId="1" applyNumberFormat="1" applyFont="1" applyFill="1" applyBorder="1" applyAlignment="1" applyProtection="1">
      <alignment horizontal="center" vertical="center"/>
    </xf>
    <xf numFmtId="10" fontId="4" fillId="0" borderId="0" xfId="4" applyNumberFormat="1" applyFont="1" applyFill="1" applyProtection="1"/>
    <xf numFmtId="44" fontId="9" fillId="0" borderId="2" xfId="0" applyNumberFormat="1" applyFont="1" applyFill="1" applyBorder="1" applyAlignment="1" applyProtection="1">
      <alignment horizontal="center" vertical="center"/>
    </xf>
    <xf numFmtId="164" fontId="4" fillId="0" borderId="0" xfId="4" applyNumberFormat="1" applyFont="1" applyFill="1" applyProtection="1"/>
    <xf numFmtId="44" fontId="4" fillId="0" borderId="0" xfId="2" applyNumberFormat="1" applyFill="1" applyProtection="1"/>
    <xf numFmtId="0" fontId="8" fillId="0" borderId="2" xfId="0" applyNumberFormat="1" applyFont="1" applyFill="1" applyBorder="1" applyAlignment="1" applyProtection="1">
      <alignment horizontal="center" vertical="center"/>
    </xf>
    <xf numFmtId="0" fontId="8" fillId="0" borderId="0" xfId="2" applyFont="1" applyAlignment="1">
      <alignment horizontal="left" vertical="center" wrapText="1"/>
    </xf>
    <xf numFmtId="0" fontId="10" fillId="0" borderId="0" xfId="2" applyFont="1" applyBorder="1" applyAlignment="1">
      <alignment horizontal="left" vertical="top"/>
    </xf>
    <xf numFmtId="0" fontId="10" fillId="0" borderId="0" xfId="2" applyFont="1" applyAlignment="1">
      <alignment horizontal="left" vertical="top"/>
    </xf>
    <xf numFmtId="0" fontId="9" fillId="0" borderId="13" xfId="0" applyNumberFormat="1" applyFont="1" applyFill="1" applyBorder="1" applyAlignment="1" applyProtection="1">
      <alignment horizontal="center" vertical="center" wrapText="1"/>
    </xf>
    <xf numFmtId="0" fontId="11" fillId="0" borderId="13" xfId="0" applyNumberFormat="1" applyFont="1" applyFill="1" applyBorder="1" applyAlignment="1" applyProtection="1">
      <alignment horizontal="center" vertical="center"/>
    </xf>
    <xf numFmtId="44" fontId="11" fillId="0" borderId="12" xfId="0" applyNumberFormat="1" applyFont="1" applyFill="1" applyBorder="1" applyAlignment="1" applyProtection="1">
      <alignment horizontal="center" vertical="center"/>
    </xf>
    <xf numFmtId="0" fontId="8" fillId="0" borderId="0" xfId="2" applyFont="1" applyBorder="1" applyAlignment="1">
      <alignment horizontal="center" wrapText="1"/>
    </xf>
    <xf numFmtId="0" fontId="11" fillId="0" borderId="6" xfId="2" applyFont="1" applyBorder="1" applyAlignment="1">
      <alignment horizontal="center" wrapText="1"/>
    </xf>
  </cellXfs>
  <cellStyles count="6">
    <cellStyle name="Hiperlink" xfId="5" builtinId="8"/>
    <cellStyle name="Moeda" xfId="1" builtinId="4"/>
    <cellStyle name="Moeda 2" xfId="3"/>
    <cellStyle name="Normal" xfId="0" builtinId="0"/>
    <cellStyle name="Normal 2" xfId="2"/>
    <cellStyle name="Porcentagem" xfId="4" builtinId="5"/>
  </cellStyles>
  <dxfs count="5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indexed="64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</font>
      <fill>
        <patternFill patternType="none">
          <fgColor indexed="64"/>
          <bgColor indexed="65"/>
        </patternFill>
      </fill>
      <protection locked="0" hidden="0"/>
    </dxf>
    <dxf>
      <fill>
        <patternFill patternType="solid">
          <fgColor indexed="64"/>
          <bgColor rgb="FF00206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Estilo de Tabela 1" pivot="0" count="1">
      <tableStyleElement type="wholeTable" dxfId="58"/>
    </tableStyle>
  </tableStyles>
  <colors>
    <mruColors>
      <color rgb="FF91BCE3"/>
      <color rgb="FF9EC4E6"/>
      <color rgb="FF5B9B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485775</xdr:colOff>
      <xdr:row>24</xdr:row>
      <xdr:rowOff>0</xdr:rowOff>
    </xdr:from>
    <xdr:ext cx="184731" cy="264560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886575" y="6848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13</xdr:col>
      <xdr:colOff>714375</xdr:colOff>
      <xdr:row>9</xdr:row>
      <xdr:rowOff>161925</xdr:rowOff>
    </xdr:from>
    <xdr:ext cx="184731" cy="264560"/>
    <xdr:sp macro="" textlink="">
      <xdr:nvSpPr>
        <xdr:cNvPr id="3" name="CaixaDeTexto 2"/>
        <xdr:cNvSpPr txBox="1"/>
      </xdr:nvSpPr>
      <xdr:spPr>
        <a:xfrm>
          <a:off x="13639800" y="2000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 editAs="absolute">
    <xdr:from>
      <xdr:col>7</xdr:col>
      <xdr:colOff>31753</xdr:colOff>
      <xdr:row>1</xdr:row>
      <xdr:rowOff>127000</xdr:rowOff>
    </xdr:from>
    <xdr:to>
      <xdr:col>9</xdr:col>
      <xdr:colOff>898529</xdr:colOff>
      <xdr:row>9</xdr:row>
      <xdr:rowOff>333375</xdr:rowOff>
    </xdr:to>
    <xdr:grpSp>
      <xdr:nvGrpSpPr>
        <xdr:cNvPr id="6" name="grupoBtns"/>
        <xdr:cNvGrpSpPr/>
      </xdr:nvGrpSpPr>
      <xdr:grpSpPr>
        <a:xfrm>
          <a:off x="8128003" y="317500"/>
          <a:ext cx="2867026" cy="1854200"/>
          <a:chOff x="8128000" y="317500"/>
          <a:chExt cx="2733675" cy="2158679"/>
        </a:xfrm>
      </xdr:grpSpPr>
      <xdr:sp macro="" textlink="">
        <xdr:nvSpPr>
          <xdr:cNvPr id="8" name="Retângulo 7"/>
          <xdr:cNvSpPr/>
        </xdr:nvSpPr>
        <xdr:spPr>
          <a:xfrm>
            <a:off x="8128000" y="317500"/>
            <a:ext cx="2733675" cy="2158679"/>
          </a:xfrm>
          <a:prstGeom prst="rect">
            <a:avLst/>
          </a:prstGeom>
          <a:solidFill>
            <a:srgbClr val="9EC4E6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CallUserForm" textlink="">
        <xdr:nvSpPr>
          <xdr:cNvPr id="10" name="Retângulo 9"/>
          <xdr:cNvSpPr>
            <a:spLocks/>
          </xdr:cNvSpPr>
        </xdr:nvSpPr>
        <xdr:spPr>
          <a:xfrm>
            <a:off x="8251822" y="1091383"/>
            <a:ext cx="1160343" cy="54207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Inserir Bwc</a:t>
            </a:r>
          </a:p>
        </xdr:txBody>
      </xdr:sp>
      <xdr:sp macro="[0]!ExportarPDF" textlink="">
        <xdr:nvSpPr>
          <xdr:cNvPr id="12" name="Retângulo 11"/>
          <xdr:cNvSpPr>
            <a:spLocks/>
          </xdr:cNvSpPr>
        </xdr:nvSpPr>
        <xdr:spPr>
          <a:xfrm>
            <a:off x="9574532" y="1791877"/>
            <a:ext cx="1160343" cy="54207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>
                <a:effectLst>
                  <a:outerShdw blurRad="63500" sx="102000" sy="102000" algn="ctr" rotWithShape="0">
                    <a:prstClr val="black">
                      <a:alpha val="40000"/>
                    </a:prstClr>
                  </a:outerShdw>
                </a:effectLst>
                <a:latin typeface="Bahnschrift SemiCondensed" panose="020B0502040204020203" pitchFamily="34" charset="0"/>
              </a:rPr>
              <a:t>Gerar</a:t>
            </a:r>
            <a:r>
              <a:rPr lang="pt-BR" sz="1600" baseline="0">
                <a:effectLst/>
                <a:latin typeface="Bahnschrift SemiCondensed" panose="020B0502040204020203" pitchFamily="34" charset="0"/>
              </a:rPr>
              <a:t> PDF</a:t>
            </a:r>
            <a:endParaRPr lang="pt-BR" sz="1600">
              <a:effectLst/>
              <a:latin typeface="Bahnschrift SemiCondensed" panose="020B0502040204020203" pitchFamily="34" charset="0"/>
            </a:endParaRPr>
          </a:p>
        </xdr:txBody>
      </xdr:sp>
      <xdr:sp macro="[0]!excluirLinha" textlink="">
        <xdr:nvSpPr>
          <xdr:cNvPr id="13" name="Retângulo 12"/>
          <xdr:cNvSpPr>
            <a:spLocks/>
          </xdr:cNvSpPr>
        </xdr:nvSpPr>
        <xdr:spPr>
          <a:xfrm>
            <a:off x="9578376" y="1097778"/>
            <a:ext cx="1160343" cy="54207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Excluir Item</a:t>
            </a:r>
          </a:p>
        </xdr:txBody>
      </xdr:sp>
      <xdr:sp macro="[0]!NovoOrcamento" textlink="">
        <xdr:nvSpPr>
          <xdr:cNvPr id="24" name="Retângulo 23"/>
          <xdr:cNvSpPr>
            <a:spLocks/>
          </xdr:cNvSpPr>
        </xdr:nvSpPr>
        <xdr:spPr>
          <a:xfrm>
            <a:off x="8261490" y="410836"/>
            <a:ext cx="1160343" cy="543600"/>
          </a:xfrm>
          <a:prstGeom prst="rect">
            <a:avLst/>
          </a:prstGeom>
          <a:effectLst>
            <a:outerShdw blurRad="57150" dist="19050" dir="5400000" algn="tl" rotWithShape="0">
              <a:prstClr val="black">
                <a:alpha val="63000"/>
              </a:prstClr>
            </a:outerShdw>
          </a:effectLst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Novo</a:t>
            </a:r>
            <a:r>
              <a:rPr lang="pt-BR" sz="1100" baseline="0">
                <a:latin typeface="Bahnschrift SemiCondensed" panose="020B0502040204020203" pitchFamily="34" charset="0"/>
              </a:rPr>
              <a:t> Orçamento</a:t>
            </a:r>
            <a:endParaRPr lang="pt-BR" sz="1100">
              <a:latin typeface="Bahnschrift SemiCondensed" panose="020B0502040204020203" pitchFamily="34" charset="0"/>
            </a:endParaRPr>
          </a:p>
        </xdr:txBody>
      </xdr:sp>
      <xdr:sp macro="[0]!CallUserForm3" textlink="">
        <xdr:nvSpPr>
          <xdr:cNvPr id="16" name="Cliente"/>
          <xdr:cNvSpPr>
            <a:spLocks/>
          </xdr:cNvSpPr>
        </xdr:nvSpPr>
        <xdr:spPr>
          <a:xfrm>
            <a:off x="9575797" y="412697"/>
            <a:ext cx="1160343" cy="54360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Dados</a:t>
            </a:r>
            <a:r>
              <a:rPr lang="pt-BR" sz="1100" baseline="0">
                <a:latin typeface="Bahnschrift SemiCondensed" panose="020B0502040204020203" pitchFamily="34" charset="0"/>
              </a:rPr>
              <a:t> </a:t>
            </a:r>
            <a:r>
              <a:rPr lang="pt-BR" sz="1100">
                <a:latin typeface="Bahnschrift SemiCondensed" panose="020B0502040204020203" pitchFamily="34" charset="0"/>
              </a:rPr>
              <a:t>Orçamento</a:t>
            </a:r>
          </a:p>
        </xdr:txBody>
      </xdr:sp>
      <xdr:sp macro="[0]!CallUserForm2" textlink="">
        <xdr:nvSpPr>
          <xdr:cNvPr id="14" name="Retângulo 13"/>
          <xdr:cNvSpPr>
            <a:spLocks/>
          </xdr:cNvSpPr>
        </xdr:nvSpPr>
        <xdr:spPr>
          <a:xfrm>
            <a:off x="8252265" y="1787186"/>
            <a:ext cx="1160343" cy="54207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50">
                <a:latin typeface="Bahnschrift SemiCondensed" panose="020B0502040204020203" pitchFamily="34" charset="0"/>
              </a:rPr>
              <a:t>Inserir Tampo</a:t>
            </a:r>
          </a:p>
        </xdr:txBody>
      </xdr:sp>
    </xdr:grpSp>
    <xdr:clientData fPrintsWithSheet="0"/>
  </xdr:twoCellAnchor>
  <xdr:twoCellAnchor>
    <xdr:from>
      <xdr:col>11</xdr:col>
      <xdr:colOff>704850</xdr:colOff>
      <xdr:row>2</xdr:row>
      <xdr:rowOff>28575</xdr:rowOff>
    </xdr:from>
    <xdr:to>
      <xdr:col>13</xdr:col>
      <xdr:colOff>7270</xdr:colOff>
      <xdr:row>4</xdr:row>
      <xdr:rowOff>95451</xdr:rowOff>
    </xdr:to>
    <xdr:sp macro="[0]!MenuClick" textlink="">
      <xdr:nvSpPr>
        <xdr:cNvPr id="33" name="Chapas"/>
        <xdr:cNvSpPr>
          <a:spLocks/>
        </xdr:cNvSpPr>
      </xdr:nvSpPr>
      <xdr:spPr>
        <a:xfrm>
          <a:off x="12801600" y="419100"/>
          <a:ext cx="1216945" cy="466926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Bahnschrift SemiCondensed" panose="020B0502040204020203" pitchFamily="34" charset="0"/>
            </a:rPr>
            <a:t>Valor</a:t>
          </a:r>
          <a:r>
            <a:rPr lang="pt-BR" sz="1400" baseline="0">
              <a:latin typeface="Bahnschrift SemiCondensed" panose="020B0502040204020203" pitchFamily="34" charset="0"/>
            </a:rPr>
            <a:t> Chapas</a:t>
          </a:r>
          <a:endParaRPr lang="pt-BR" sz="1400">
            <a:latin typeface="Bahnschrift SemiCondensed" panose="020B0502040204020203" pitchFamily="34" charset="0"/>
          </a:endParaRPr>
        </a:p>
      </xdr:txBody>
    </xdr:sp>
    <xdr:clientData/>
  </xdr:twoCellAnchor>
  <xdr:twoCellAnchor>
    <xdr:from>
      <xdr:col>11</xdr:col>
      <xdr:colOff>714840</xdr:colOff>
      <xdr:row>5</xdr:row>
      <xdr:rowOff>31671</xdr:rowOff>
    </xdr:from>
    <xdr:to>
      <xdr:col>13</xdr:col>
      <xdr:colOff>17260</xdr:colOff>
      <xdr:row>7</xdr:row>
      <xdr:rowOff>98547</xdr:rowOff>
    </xdr:to>
    <xdr:sp macro="[0]!MenuClick" textlink="">
      <xdr:nvSpPr>
        <xdr:cNvPr id="34" name="Acess"/>
        <xdr:cNvSpPr>
          <a:spLocks/>
        </xdr:cNvSpPr>
      </xdr:nvSpPr>
      <xdr:spPr>
        <a:xfrm>
          <a:off x="12811590" y="1022271"/>
          <a:ext cx="1216945" cy="466926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Bahnschrift SemiCondensed" panose="020B0502040204020203" pitchFamily="34" charset="0"/>
            </a:rPr>
            <a:t>Valor Acessórios</a:t>
          </a:r>
          <a:endParaRPr lang="pt-BR" sz="1400">
            <a:latin typeface="Bahnschrift SemiCondensed" panose="020B0502040204020203" pitchFamily="34" charset="0"/>
          </a:endParaRPr>
        </a:p>
      </xdr:txBody>
    </xdr:sp>
    <xdr:clientData/>
  </xdr:twoCellAnchor>
  <xdr:twoCellAnchor>
    <xdr:from>
      <xdr:col>13</xdr:col>
      <xdr:colOff>140478</xdr:colOff>
      <xdr:row>2</xdr:row>
      <xdr:rowOff>34722</xdr:rowOff>
    </xdr:from>
    <xdr:to>
      <xdr:col>14</xdr:col>
      <xdr:colOff>557323</xdr:colOff>
      <xdr:row>4</xdr:row>
      <xdr:rowOff>101598</xdr:rowOff>
    </xdr:to>
    <xdr:sp macro="[0]!MenuClick" textlink="">
      <xdr:nvSpPr>
        <xdr:cNvPr id="36" name="Granito"/>
        <xdr:cNvSpPr>
          <a:spLocks/>
        </xdr:cNvSpPr>
      </xdr:nvSpPr>
      <xdr:spPr>
        <a:xfrm>
          <a:off x="14151753" y="425247"/>
          <a:ext cx="1216945" cy="466926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50">
              <a:latin typeface="Bahnschrift SemiCondensed" panose="020B0502040204020203" pitchFamily="34" charset="0"/>
            </a:rPr>
            <a:t>Valor Granitos</a:t>
          </a:r>
        </a:p>
      </xdr:txBody>
    </xdr:sp>
    <xdr:clientData/>
  </xdr:twoCellAnchor>
  <xdr:twoCellAnchor>
    <xdr:from>
      <xdr:col>13</xdr:col>
      <xdr:colOff>131418</xdr:colOff>
      <xdr:row>5</xdr:row>
      <xdr:rowOff>26403</xdr:rowOff>
    </xdr:from>
    <xdr:to>
      <xdr:col>14</xdr:col>
      <xdr:colOff>548263</xdr:colOff>
      <xdr:row>7</xdr:row>
      <xdr:rowOff>93279</xdr:rowOff>
    </xdr:to>
    <xdr:sp macro="[0]!MenuClick" textlink="">
      <xdr:nvSpPr>
        <xdr:cNvPr id="37" name="Cubas"/>
        <xdr:cNvSpPr>
          <a:spLocks/>
        </xdr:cNvSpPr>
      </xdr:nvSpPr>
      <xdr:spPr>
        <a:xfrm>
          <a:off x="14142693" y="1017003"/>
          <a:ext cx="1216945" cy="466926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Bahnschrift SemiCondensed" panose="020B0502040204020203" pitchFamily="34" charset="0"/>
            </a:rPr>
            <a:t>Valor Cubas</a:t>
          </a:r>
          <a:endParaRPr lang="pt-BR" sz="1800">
            <a:latin typeface="Bahnschrift SemiCondensed" panose="020B0502040204020203" pitchFamily="34" charset="0"/>
          </a:endParaRPr>
        </a:p>
      </xdr:txBody>
    </xdr:sp>
    <xdr:clientData/>
  </xdr:twoCellAnchor>
  <xdr:twoCellAnchor>
    <xdr:from>
      <xdr:col>10</xdr:col>
      <xdr:colOff>733890</xdr:colOff>
      <xdr:row>10</xdr:row>
      <xdr:rowOff>203121</xdr:rowOff>
    </xdr:from>
    <xdr:to>
      <xdr:col>11</xdr:col>
      <xdr:colOff>950710</xdr:colOff>
      <xdr:row>10</xdr:row>
      <xdr:rowOff>670047</xdr:rowOff>
    </xdr:to>
    <xdr:sp macro="[0]!DesbloquearPlanilha" textlink="">
      <xdr:nvSpPr>
        <xdr:cNvPr id="17" name="Acess"/>
        <xdr:cNvSpPr>
          <a:spLocks/>
        </xdr:cNvSpPr>
      </xdr:nvSpPr>
      <xdr:spPr>
        <a:xfrm>
          <a:off x="11830515" y="2412921"/>
          <a:ext cx="1216945" cy="466926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Bahnschrift SemiCondensed" panose="020B0502040204020203" pitchFamily="34" charset="0"/>
            </a:rPr>
            <a:t>Valor Acessórios</a:t>
          </a:r>
          <a:endParaRPr lang="pt-BR" sz="1400">
            <a:latin typeface="Bahnschrift SemiCondensed" panose="020B0502040204020203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3" name="OrcamentTbl" displayName="OrcamentTbl" ref="B9:F22" totalsRowCount="1" headerRowDxfId="57" dataDxfId="56" totalsRowDxfId="21" tableBorderDxfId="55" totalsRowBorderDxfId="54">
  <autoFilter ref="B9:F21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ITEM" dataDxfId="31" totalsRowDxfId="26" dataCellStyle="Normal 2"/>
    <tableColumn id="2" name="DESCRIÇÃO" totalsRowLabel="TOTAL" dataDxfId="30" totalsRowDxfId="25" dataCellStyle="Normal 2"/>
    <tableColumn id="3" name="QTDE" dataDxfId="29" totalsRowDxfId="24" dataCellStyle="Normal 2"/>
    <tableColumn id="4" name="VALOR UNT." dataDxfId="28" totalsRowDxfId="23" dataCellStyle="Moeda 2"/>
    <tableColumn id="5" name="SUB TOTAL" totalsRowFunction="custom" dataDxfId="27" totalsRowDxfId="22" dataCellStyle="Moeda">
      <calculatedColumnFormula>OrcamentTbl[VALOR UNT.]*OrcamentTbl[QTDE]</calculatedColumnFormula>
      <totalsRowFormula>SUBTOTAL(109,OrcamentTbl[SUB TOTAL])</totalsRow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ValoresChapas" displayName="ValoresChapas" ref="B2:G3" totalsRowShown="0" headerRowDxfId="53" dataDxfId="4" tableBorderDxfId="52">
  <autoFilter ref="B2:G3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7" name="CUSTOS" dataDxfId="2"/>
    <tableColumn id="1" name="m²" dataDxfId="3">
      <calculatedColumnFormula>1.22*2.44</calculatedColumnFormula>
    </tableColumn>
    <tableColumn id="2" name="5mm" dataDxfId="8"/>
    <tableColumn id="3" name="10mm" dataDxfId="7"/>
    <tableColumn id="4" name="15mm" dataDxfId="6"/>
    <tableColumn id="5" name="20mm" dataDxfId="5"/>
  </tableColumns>
  <tableStyleInfo name="TableStyleDark8" showFirstColumn="0" showLastColumn="0" showRowStripes="1" showColumnStripes="0"/>
</table>
</file>

<file path=xl/tables/table3.xml><?xml version="1.0" encoding="utf-8"?>
<table xmlns="http://schemas.openxmlformats.org/spreadsheetml/2006/main" id="2" name="ValoresAcess" displayName="ValoresAcess" ref="B5:G6" totalsRowShown="0" headerRowDxfId="51" dataDxfId="14" tableBorderDxfId="50" dataCellStyle="Moeda">
  <autoFilter ref="B5:G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DOBRADIÇA" dataDxfId="20" dataCellStyle="Moeda"/>
    <tableColumn id="2" name="PUXADOR" dataDxfId="19" dataCellStyle="Moeda"/>
    <tableColumn id="3" name="TINTA m²" dataDxfId="18" dataCellStyle="Moeda"/>
    <tableColumn id="4" name="ESPELHO m²" dataDxfId="17" dataCellStyle="Moeda"/>
    <tableColumn id="5" name="CORREDIÇA" dataDxfId="16" dataCellStyle="Moeda"/>
    <tableColumn id="6" name="PÉ" dataDxfId="15" dataCellStyle="Moeda">
      <calculatedColumnFormula>1.9*1.1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1" name="DadosOrcto" displayName="DadosOrcto" ref="B8:E9" totalsRowShown="0" headerRowDxfId="49" dataDxfId="9" headerRowBorderDxfId="48" tableBorderDxfId="47" totalsRowBorderDxfId="46" headerRowCellStyle="Normal 2">
  <autoFilter ref="B8:E9">
    <filterColumn colId="0" hiddenButton="1"/>
    <filterColumn colId="1" hiddenButton="1"/>
    <filterColumn colId="2" hiddenButton="1"/>
    <filterColumn colId="3" hiddenButton="1"/>
  </autoFilter>
  <tableColumns count="4">
    <tableColumn id="1" name="CLIENTE" dataDxfId="13" dataCellStyle="Normal 2"/>
    <tableColumn id="2" name="DATA" dataDxfId="12" dataCellStyle="Normal 2"/>
    <tableColumn id="3" name="Nº" dataDxfId="11" dataCellStyle="Normal 2"/>
    <tableColumn id="4" name="TABELA" dataDxfId="10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1" name="coresGranito" displayName="coresGranito" ref="I2:M3" totalsRowShown="0" headerRowDxfId="45" dataDxfId="44" tableBorderDxfId="43" dataCellStyle="Moeda">
  <autoFilter ref="I2:M3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Cores granito" dataDxfId="0" dataCellStyle="Moeda"/>
    <tableColumn id="2" name="Verde Labrador" dataDxfId="1" dataCellStyle="Moeda"/>
    <tableColumn id="3" name="Preto São Gabriel" dataDxfId="42" dataCellStyle="Moeda"/>
    <tableColumn id="4" name="Cinza Andorinha" dataDxfId="41" dataCellStyle="Moeda"/>
    <tableColumn id="5" name="Branco Itaúnas" dataDxfId="40" dataCellStyle="Moeda"/>
  </tableColumns>
  <tableStyleInfo name="TableStyleDark8" showFirstColumn="0" showLastColumn="0" showRowStripes="1" showColumnStripes="0"/>
</table>
</file>

<file path=xl/tables/table6.xml><?xml version="1.0" encoding="utf-8"?>
<table xmlns="http://schemas.openxmlformats.org/spreadsheetml/2006/main" id="4" name="modelosCubas" displayName="modelosCubas" ref="I5:M6" totalsRowShown="0" headerRowDxfId="39" dataDxfId="38" tableBorderDxfId="37" dataCellStyle="Moeda">
  <autoFilter ref="I5:M6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Cubas" dataDxfId="36" dataCellStyle="Moeda"/>
    <tableColumn id="2" name="Redonda branca" dataDxfId="35" dataCellStyle="Moeda"/>
    <tableColumn id="3" name="Redonda Slim" dataDxfId="34" dataCellStyle="Moeda"/>
    <tableColumn id="4" name="Retangular" dataDxfId="33" dataCellStyle="Moeda"/>
    <tableColumn id="5" name="Retangular Slim" dataDxfId="32" dataCellStyle="Moeda"/>
  </tableColumns>
  <tableStyleInfo name="TableStyleDark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https://www.mercadolivre.com.br/cuba-de-apoio-retangular-cmesa-350x315-l730017-deca-cor-branco/p/MLB20903100" TargetMode="External"/><Relationship Id="rId7" Type="http://schemas.openxmlformats.org/officeDocument/2006/relationships/table" Target="../tables/table4.xml"/><Relationship Id="rId2" Type="http://schemas.openxmlformats.org/officeDocument/2006/relationships/hyperlink" Target="https://www.mercadolivre.com.br/cuba-de-apoio-deca-30x30-l1203017-redonda-branca-cor-branco/p/MLB20763750" TargetMode="External"/><Relationship Id="rId1" Type="http://schemas.openxmlformats.org/officeDocument/2006/relationships/hyperlink" Target="https://www.leroymerlin.com.br/cuba-para-banheiro-de-apoio-em-louca-redonda-branca-35cm-r1-celite_87792726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hyperlink" Target="https://www.mercadolivre.com.br/cuba-de-apoio-retangular-slim-branco-deca-40-cm/p/MLB20245981" TargetMode="External"/><Relationship Id="rId9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pageSetUpPr fitToPage="1"/>
  </sheetPr>
  <dimension ref="B1:AH27"/>
  <sheetViews>
    <sheetView showGridLines="0" tabSelected="1" zoomScaleNormal="100" workbookViewId="0">
      <selection activeCell="I12" sqref="I12"/>
    </sheetView>
  </sheetViews>
  <sheetFormatPr defaultRowHeight="15" x14ac:dyDescent="0.25"/>
  <cols>
    <col min="1" max="1" width="2.140625" style="1" customWidth="1"/>
    <col min="2" max="2" width="5.5703125" style="1" customWidth="1"/>
    <col min="3" max="3" width="70.28515625" style="1" customWidth="1"/>
    <col min="4" max="4" width="6.42578125" style="1" customWidth="1"/>
    <col min="5" max="5" width="16.140625" style="1" bestFit="1" customWidth="1"/>
    <col min="6" max="6" width="18" style="7" bestFit="1" customWidth="1"/>
    <col min="7" max="7" width="2.85546875" style="1" customWidth="1"/>
    <col min="8" max="12" width="15" style="1" customWidth="1"/>
    <col min="13" max="13" width="13.7109375" style="1" customWidth="1"/>
    <col min="14" max="14" width="12" style="1" customWidth="1"/>
    <col min="15" max="15" width="13.140625" style="1" customWidth="1"/>
    <col min="16" max="16" width="13.7109375" style="1" customWidth="1"/>
    <col min="17" max="17" width="13.28515625" style="1" customWidth="1"/>
    <col min="18" max="18" width="10.5703125" style="1" customWidth="1"/>
    <col min="19" max="19" width="9" style="1" customWidth="1"/>
    <col min="20" max="20" width="11.140625" style="1" customWidth="1"/>
    <col min="21" max="26" width="13.28515625" customWidth="1"/>
    <col min="28" max="32" width="15.85546875" customWidth="1"/>
    <col min="33" max="33" width="18.5703125" customWidth="1"/>
    <col min="34" max="34" width="17.5703125" customWidth="1"/>
    <col min="35" max="35" width="16" style="1" customWidth="1"/>
    <col min="36" max="37" width="17.5703125" style="1" customWidth="1"/>
    <col min="38" max="38" width="12.28515625" style="1" bestFit="1" customWidth="1"/>
    <col min="39" max="16384" width="9.140625" style="1"/>
  </cols>
  <sheetData>
    <row r="1" spans="2:34" x14ac:dyDescent="0.25">
      <c r="F1" s="2"/>
      <c r="G1" s="15"/>
    </row>
    <row r="2" spans="2:34" ht="15.75" customHeight="1" x14ac:dyDescent="0.25">
      <c r="B2" s="14"/>
      <c r="C2" s="14"/>
      <c r="D2" s="14"/>
      <c r="E2" s="14"/>
      <c r="F2" s="14"/>
    </row>
    <row r="3" spans="2:34" ht="15.75" customHeight="1" x14ac:dyDescent="0.25">
      <c r="B3" s="14"/>
      <c r="C3" s="14"/>
      <c r="D3" s="14"/>
      <c r="E3" s="60" t="s">
        <v>42</v>
      </c>
      <c r="F3" s="60"/>
    </row>
    <row r="4" spans="2:34" ht="15.75" customHeight="1" x14ac:dyDescent="0.25">
      <c r="D4" s="3"/>
      <c r="E4" s="60" t="s">
        <v>39</v>
      </c>
      <c r="F4" s="60"/>
      <c r="H4" s="32"/>
      <c r="I4" s="32"/>
      <c r="J4" s="32"/>
      <c r="K4" s="32"/>
      <c r="M4" s="18"/>
      <c r="AG4" s="1"/>
      <c r="AH4" s="1"/>
    </row>
    <row r="5" spans="2:34" s="5" customFormat="1" ht="15.75" x14ac:dyDescent="0.25">
      <c r="B5" s="4" t="s">
        <v>11</v>
      </c>
      <c r="E5" s="59" t="s">
        <v>40</v>
      </c>
      <c r="F5" s="59"/>
      <c r="L5" s="1"/>
      <c r="M5" s="18"/>
    </row>
    <row r="6" spans="2:34" ht="15.75" x14ac:dyDescent="0.25">
      <c r="B6" s="12"/>
      <c r="C6" s="12"/>
      <c r="O6"/>
      <c r="P6"/>
      <c r="Q6"/>
      <c r="R6"/>
      <c r="S6"/>
      <c r="T6"/>
      <c r="AG6" s="1"/>
      <c r="AH6" s="1"/>
    </row>
    <row r="7" spans="2:34" ht="15.75" x14ac:dyDescent="0.25">
      <c r="B7" s="12"/>
      <c r="C7" s="12"/>
      <c r="L7" s="16"/>
      <c r="N7"/>
      <c r="O7"/>
      <c r="P7"/>
      <c r="Q7"/>
      <c r="R7"/>
      <c r="S7"/>
      <c r="T7"/>
      <c r="AG7" s="1" t="s">
        <v>29</v>
      </c>
      <c r="AH7" s="1"/>
    </row>
    <row r="8" spans="2:34" ht="20.25" customHeight="1" x14ac:dyDescent="0.25">
      <c r="B8" s="13"/>
      <c r="C8" s="13"/>
      <c r="L8" s="18"/>
    </row>
    <row r="9" spans="2:34" x14ac:dyDescent="0.25">
      <c r="B9" s="8" t="s">
        <v>12</v>
      </c>
      <c r="C9" s="9" t="s">
        <v>13</v>
      </c>
      <c r="D9" s="9" t="s">
        <v>14</v>
      </c>
      <c r="E9" s="10" t="s">
        <v>15</v>
      </c>
      <c r="F9" s="11" t="s">
        <v>16</v>
      </c>
      <c r="G9" s="6"/>
      <c r="L9" s="18"/>
      <c r="M9" s="16"/>
    </row>
    <row r="10" spans="2:34" s="16" customFormat="1" ht="29.25" x14ac:dyDescent="0.25">
      <c r="B10" s="48">
        <v>1</v>
      </c>
      <c r="C10" s="49" t="s">
        <v>36</v>
      </c>
      <c r="D10" s="50">
        <v>1</v>
      </c>
      <c r="E10" s="51">
        <v>1570</v>
      </c>
      <c r="F10" s="52">
        <f>OrcamentTbl[VALOR UNT.]*OrcamentTbl[QTDE]</f>
        <v>1570</v>
      </c>
      <c r="H10" s="18"/>
      <c r="I10" s="18"/>
      <c r="J10" s="18"/>
      <c r="K10" s="18"/>
      <c r="L10" s="18"/>
      <c r="M10" s="18"/>
      <c r="Y10" s="17"/>
      <c r="Z10" s="17"/>
      <c r="AA10" s="17"/>
      <c r="AD10" s="17"/>
      <c r="AE10" s="17"/>
      <c r="AF10" s="17"/>
      <c r="AG10" s="17"/>
      <c r="AH10" s="17"/>
    </row>
    <row r="11" spans="2:34" s="18" customFormat="1" ht="57.75" x14ac:dyDescent="0.25">
      <c r="B11" s="48">
        <v>2</v>
      </c>
      <c r="C11" s="49" t="s">
        <v>38</v>
      </c>
      <c r="D11" s="50">
        <v>1</v>
      </c>
      <c r="E11" s="51">
        <v>2792.087158203125</v>
      </c>
      <c r="F11" s="52">
        <f>OrcamentTbl[VALOR UNT.]*OrcamentTbl[QTDE]</f>
        <v>2792.087158203125</v>
      </c>
      <c r="V11" s="19"/>
      <c r="W11" s="19"/>
      <c r="X11" s="19"/>
      <c r="Y11" s="19"/>
      <c r="Z11" s="19"/>
      <c r="AA11" s="19"/>
      <c r="AC11" s="19"/>
      <c r="AD11" s="19"/>
      <c r="AE11" s="19"/>
      <c r="AF11" s="19"/>
      <c r="AG11" s="19"/>
      <c r="AH11" s="19"/>
    </row>
    <row r="12" spans="2:34" s="18" customFormat="1" ht="57.75" x14ac:dyDescent="0.25">
      <c r="B12" s="48">
        <v>3</v>
      </c>
      <c r="C12" s="49" t="s">
        <v>38</v>
      </c>
      <c r="D12" s="50">
        <v>1</v>
      </c>
      <c r="E12" s="51">
        <v>2850.259765625</v>
      </c>
      <c r="F12" s="52">
        <f>OrcamentTbl[VALOR UNT.]*OrcamentTbl[QTDE]</f>
        <v>2850.259765625</v>
      </c>
      <c r="L12" s="53">
        <f ca="1">(OrcamentTbl[[#This Row],[VALOR UNT.]]-OFFSET(OrcamentTbl[[#This Row],[VALOR UNT.]],-1,0))/OFFSET(OrcamentTbl[[#This Row],[VALOR UNT.]],-1,0)</f>
        <v>2.0834810708170209E-2</v>
      </c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</row>
    <row r="13" spans="2:34" s="18" customFormat="1" ht="57.75" x14ac:dyDescent="0.25">
      <c r="B13" s="48">
        <v>4</v>
      </c>
      <c r="C13" s="49" t="s">
        <v>38</v>
      </c>
      <c r="D13" s="50">
        <v>1</v>
      </c>
      <c r="E13" s="51">
        <v>2910.894775390625</v>
      </c>
      <c r="F13" s="52">
        <f>OrcamentTbl[VALOR UNT.]*OrcamentTbl[QTDE]</f>
        <v>2910.894775390625</v>
      </c>
      <c r="L13" s="53">
        <f ca="1">(OrcamentTbl[[#This Row],[VALOR UNT.]]-OFFSET(OrcamentTbl[[#This Row],[VALOR UNT.]],-1,0))/OFFSET(OrcamentTbl[[#This Row],[VALOR UNT.]],-1,0)</f>
        <v>2.1273503031864559E-2</v>
      </c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</row>
    <row r="14" spans="2:34" s="18" customFormat="1" ht="57.75" x14ac:dyDescent="0.25">
      <c r="B14" s="48">
        <v>5</v>
      </c>
      <c r="C14" s="49" t="s">
        <v>38</v>
      </c>
      <c r="D14" s="50">
        <v>1</v>
      </c>
      <c r="E14" s="51">
        <v>2974.18408203125</v>
      </c>
      <c r="F14" s="52">
        <f>OrcamentTbl[VALOR UNT.]*OrcamentTbl[QTDE]</f>
        <v>2974.18408203125</v>
      </c>
      <c r="L14" s="53">
        <f ca="1">(OrcamentTbl[[#This Row],[VALOR UNT.]]-OFFSET(OrcamentTbl[[#This Row],[VALOR UNT.]],-1,0))/OFFSET(OrcamentTbl[[#This Row],[VALOR UNT.]],-1,0)</f>
        <v>2.1742217264494539E-2</v>
      </c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</row>
    <row r="15" spans="2:34" s="18" customFormat="1" ht="57.75" x14ac:dyDescent="0.25">
      <c r="B15" s="48">
        <v>6</v>
      </c>
      <c r="C15" s="49" t="s">
        <v>38</v>
      </c>
      <c r="D15" s="50">
        <v>1</v>
      </c>
      <c r="E15" s="51">
        <v>3040.26416015625</v>
      </c>
      <c r="F15" s="52">
        <f>OrcamentTbl[VALOR UNT.]*OrcamentTbl[QTDE]</f>
        <v>3040.26416015625</v>
      </c>
      <c r="L15" s="53">
        <f ca="1">(OrcamentTbl[[#This Row],[VALOR UNT.]]-OFFSET(OrcamentTbl[[#This Row],[VALOR UNT.]],-1,0))/OFFSET(OrcamentTbl[[#This Row],[VALOR UNT.]],-1,0)</f>
        <v>2.2217884402054199E-2</v>
      </c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</row>
    <row r="16" spans="2:34" s="18" customFormat="1" ht="57.75" x14ac:dyDescent="0.25">
      <c r="B16" s="48">
        <v>7</v>
      </c>
      <c r="C16" s="49" t="s">
        <v>38</v>
      </c>
      <c r="D16" s="50">
        <v>1</v>
      </c>
      <c r="E16" s="51">
        <v>2736.240478515625</v>
      </c>
      <c r="F16" s="52">
        <f>OrcamentTbl[VALOR UNT.]*OrcamentTbl[QTDE]</f>
        <v>2736.240478515625</v>
      </c>
      <c r="K16" s="18">
        <f>OrcamentTbl[[#This Row],[SUB TOTAL]]*(1-0.109)</f>
        <v>2437.9902663574221</v>
      </c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</row>
    <row r="17" spans="2:34" s="18" customFormat="1" ht="57.75" x14ac:dyDescent="0.25">
      <c r="B17" s="48">
        <v>8</v>
      </c>
      <c r="C17" s="49" t="s">
        <v>38</v>
      </c>
      <c r="D17" s="50">
        <v>1</v>
      </c>
      <c r="E17" s="51">
        <v>2792.087158203125</v>
      </c>
      <c r="F17" s="52">
        <f>OrcamentTbl[VALOR UNT.]*OrcamentTbl[QTDE]</f>
        <v>2792.087158203125</v>
      </c>
      <c r="I17" s="53">
        <f>(OrcamentTbl[[#This Row],[SUB TOTAL]]-$F$16)/$F$16</f>
        <v>2.0410004210520305E-2</v>
      </c>
      <c r="J17" s="18">
        <f>OrcamentTbl[[#This Row],[SUB TOTAL]]*0.02</f>
        <v>55.8417431640625</v>
      </c>
      <c r="K17" s="56">
        <f>OrcamentTbl[[#This Row],[SUB TOTAL]]-J17</f>
        <v>2736.2454150390627</v>
      </c>
      <c r="L17" s="55">
        <f>(OrcamentTbl[[#This Row],[SUB TOTAL]]-$F$16)/OrcamentTbl[[#This Row],[SUB TOTAL]]</f>
        <v>2.0001768040593931E-2</v>
      </c>
      <c r="M17" s="18">
        <f>OrcamentTbl[[#This Row],[SUB TOTAL]]*(1-0.109)</f>
        <v>2487.7496579589842</v>
      </c>
      <c r="N17" s="18">
        <f>M17-J17</f>
        <v>2431.9079147949219</v>
      </c>
      <c r="O17" s="18">
        <f>N17-$K$16</f>
        <v>-6.0823515625002074</v>
      </c>
      <c r="P17" s="53">
        <f>O17/$K$16</f>
        <v>-2.4948219221513916E-3</v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</row>
    <row r="18" spans="2:34" s="18" customFormat="1" ht="57.75" x14ac:dyDescent="0.25">
      <c r="B18" s="48">
        <v>9</v>
      </c>
      <c r="C18" s="49" t="s">
        <v>38</v>
      </c>
      <c r="D18" s="50">
        <v>1</v>
      </c>
      <c r="E18" s="51">
        <v>2850.259765625</v>
      </c>
      <c r="F18" s="52">
        <f>OrcamentTbl[VALOR UNT.]*OrcamentTbl[QTDE]</f>
        <v>2850.259765625</v>
      </c>
      <c r="I18" s="53">
        <f>(OrcamentTbl[[#This Row],[SUB TOTAL]]-$F$16)/$F$16</f>
        <v>4.1670053492969664E-2</v>
      </c>
      <c r="J18" s="18">
        <f>OrcamentTbl[[#This Row],[SUB TOTAL]]*0.04</f>
        <v>114.010390625</v>
      </c>
      <c r="K18" s="56">
        <f>OrcamentTbl[[#This Row],[SUB TOTAL]]-J18</f>
        <v>2736.2493749999999</v>
      </c>
      <c r="L18" s="55">
        <f>(OrcamentTbl[[#This Row],[SUB TOTAL]]-$F$16)/OrcamentTbl[[#This Row],[SUB TOTAL]]</f>
        <v>4.0003121288972425E-2</v>
      </c>
      <c r="M18" s="18">
        <f>OrcamentTbl[[#This Row],[SUB TOTAL]]*(1-0.109)</f>
        <v>2539.581451171875</v>
      </c>
      <c r="N18" s="18">
        <f t="shared" ref="N18:N21" si="0">M18-J18</f>
        <v>2425.5710605468748</v>
      </c>
      <c r="O18" s="18">
        <f t="shared" ref="O18:O21" si="1">N18-$K$16</f>
        <v>-12.419205810547282</v>
      </c>
      <c r="P18" s="53">
        <f t="shared" ref="P18:P21" si="2">O18/$K$16</f>
        <v>-5.0940342059292544E-3</v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</row>
    <row r="19" spans="2:34" s="18" customFormat="1" ht="57.75" x14ac:dyDescent="0.25">
      <c r="B19" s="48">
        <v>10</v>
      </c>
      <c r="C19" s="49" t="s">
        <v>38</v>
      </c>
      <c r="D19" s="50">
        <v>1</v>
      </c>
      <c r="E19" s="51">
        <v>2910.894775390625</v>
      </c>
      <c r="F19" s="52">
        <f>OrcamentTbl[VALOR UNT.]*OrcamentTbl[QTDE]</f>
        <v>2910.894775390625</v>
      </c>
      <c r="I19" s="53">
        <f>(OrcamentTbl[[#This Row],[SUB TOTAL]]-$F$16)/$F$16</f>
        <v>6.3830024534154872E-2</v>
      </c>
      <c r="J19" s="18">
        <f>OrcamentTbl[[#This Row],[SUB TOTAL]]*0.06</f>
        <v>174.6536865234375</v>
      </c>
      <c r="K19" s="56">
        <f>OrcamentTbl[[#This Row],[SUB TOTAL]]-J19</f>
        <v>2736.2410888671875</v>
      </c>
      <c r="L19" s="55">
        <f>(OrcamentTbl[[#This Row],[SUB TOTAL]]-$F$16)/OrcamentTbl[[#This Row],[SUB TOTAL]]</f>
        <v>6.0000209678332472E-2</v>
      </c>
      <c r="M19" s="18">
        <f>OrcamentTbl[[#This Row],[SUB TOTAL]]*(1-0.109)</f>
        <v>2593.607244873047</v>
      </c>
      <c r="N19" s="18">
        <f t="shared" si="0"/>
        <v>2418.9535583496095</v>
      </c>
      <c r="O19" s="18">
        <f t="shared" si="1"/>
        <v>-19.036708007812649</v>
      </c>
      <c r="P19" s="53">
        <f t="shared" si="2"/>
        <v>-7.8083609563606715E-3</v>
      </c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</row>
    <row r="20" spans="2:34" s="18" customFormat="1" ht="57.75" x14ac:dyDescent="0.25">
      <c r="B20" s="48">
        <v>11</v>
      </c>
      <c r="C20" s="49" t="s">
        <v>38</v>
      </c>
      <c r="D20" s="50">
        <v>1</v>
      </c>
      <c r="E20" s="51">
        <v>2974.18408203125</v>
      </c>
      <c r="F20" s="52">
        <f>OrcamentTbl[VALOR UNT.]*OrcamentTbl[QTDE]</f>
        <v>2974.18408203125</v>
      </c>
      <c r="I20" s="53">
        <f>(OrcamentTbl[[#This Row],[SUB TOTAL]]-$F$16)/$F$16</f>
        <v>8.6960048060069017E-2</v>
      </c>
      <c r="J20" s="18">
        <f>OrcamentTbl[[#This Row],[SUB TOTAL]]*0.08</f>
        <v>237.9347265625</v>
      </c>
      <c r="K20" s="56">
        <f>OrcamentTbl[[#This Row],[SUB TOTAL]]-J20</f>
        <v>2736.2493554687499</v>
      </c>
      <c r="L20" s="55">
        <f>(OrcamentTbl[[#This Row],[SUB TOTAL]]-$F$16)/OrcamentTbl[[#This Row],[SUB TOTAL]]</f>
        <v>8.0002984668359506E-2</v>
      </c>
      <c r="M20" s="18">
        <f>OrcamentTbl[[#This Row],[SUB TOTAL]]*(1-0.109)</f>
        <v>2649.9980170898439</v>
      </c>
      <c r="N20" s="18">
        <f t="shared" si="0"/>
        <v>2412.0632905273437</v>
      </c>
      <c r="O20" s="18">
        <f t="shared" si="1"/>
        <v>-25.926975830078391</v>
      </c>
      <c r="P20" s="53">
        <f t="shared" si="2"/>
        <v>-1.0634569049701595E-2</v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</row>
    <row r="21" spans="2:34" s="18" customFormat="1" ht="57.75" x14ac:dyDescent="0.25">
      <c r="B21" s="48">
        <v>12</v>
      </c>
      <c r="C21" s="49" t="s">
        <v>38</v>
      </c>
      <c r="D21" s="50">
        <v>1</v>
      </c>
      <c r="E21" s="51">
        <v>3040.26416015625</v>
      </c>
      <c r="F21" s="52">
        <f>OrcamentTbl[VALOR UNT.]*OrcamentTbl[QTDE]</f>
        <v>3040.26416015625</v>
      </c>
      <c r="I21" s="53">
        <f>(OrcamentTbl[[#This Row],[SUB TOTAL]]-$F$16)/$F$16</f>
        <v>0.11111000075751891</v>
      </c>
      <c r="J21" s="18">
        <f>OrcamentTbl[[#This Row],[SUB TOTAL]]*0.1</f>
        <v>304.02641601562499</v>
      </c>
      <c r="K21" s="56">
        <f>OrcamentTbl[[#This Row],[SUB TOTAL]]-J21</f>
        <v>2736.2377441406252</v>
      </c>
      <c r="L21" s="55">
        <f>(OrcamentTbl[[#This Row],[SUB TOTAL]]-$F$16)/OrcamentTbl[[#This Row],[SUB TOTAL]]</f>
        <v>9.9999100612691544E-2</v>
      </c>
      <c r="M21" s="18">
        <f>OrcamentTbl[[#This Row],[SUB TOTAL]]*(1-0.109)</f>
        <v>2708.8753666992188</v>
      </c>
      <c r="N21" s="18">
        <f t="shared" si="0"/>
        <v>2404.848950683594</v>
      </c>
      <c r="O21" s="18">
        <f t="shared" si="1"/>
        <v>-33.141315673828103</v>
      </c>
      <c r="P21" s="53">
        <f t="shared" si="2"/>
        <v>-1.359370303120374E-2</v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</row>
    <row r="22" spans="2:34" s="18" customFormat="1" ht="35.1" customHeight="1" x14ac:dyDescent="0.25">
      <c r="B22" s="57"/>
      <c r="C22" s="61" t="s">
        <v>17</v>
      </c>
      <c r="D22" s="62"/>
      <c r="E22" s="63"/>
      <c r="F22" s="54">
        <f>SUBTOTAL(109,OrcamentTbl[SUB TOTAL])</f>
        <v>33441.620361328125</v>
      </c>
      <c r="L22" s="30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</row>
    <row r="23" spans="2:34" s="18" customFormat="1" ht="35.1" customHeight="1" x14ac:dyDescent="0.25">
      <c r="B23" s="64"/>
      <c r="C23" s="64"/>
      <c r="D23" s="64"/>
      <c r="E23" s="65"/>
      <c r="F23" s="64"/>
      <c r="L23" s="1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</row>
    <row r="24" spans="2:34" s="30" customFormat="1" ht="35.1" customHeight="1" x14ac:dyDescent="0.25">
      <c r="B24" s="58"/>
      <c r="C24" s="58"/>
      <c r="D24" s="58"/>
      <c r="E24" s="58"/>
      <c r="F24" s="58"/>
      <c r="L24" s="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</row>
    <row r="27" spans="2:34" x14ac:dyDescent="0.25">
      <c r="F27" s="40"/>
    </row>
  </sheetData>
  <sheetProtection algorithmName="SHA-512" hashValue="DTNB6QJKLnxMS3igOgG44+QitquDy3ZnKzIOKAfBVtAmrxt2cbmiElxlnfwWJWmlOtVEa092PM1b4yYhnBjwGA==" saltValue="QNVGn4Vejm9DsP104rZKzw==" spinCount="100000" sheet="1" objects="1" scenarios="1"/>
  <mergeCells count="5">
    <mergeCell ref="B24:F24"/>
    <mergeCell ref="E5:F5"/>
    <mergeCell ref="B23:F23"/>
    <mergeCell ref="E3:F3"/>
    <mergeCell ref="E4:F4"/>
  </mergeCells>
  <printOptions horizontalCentered="1"/>
  <pageMargins left="0.15748031496062992" right="0.15748031496062992" top="0.51181102362204722" bottom="0" header="0" footer="0"/>
  <pageSetup paperSize="9" scale="87" fitToHeight="0" orientation="portrait" r:id="rId1"/>
  <headerFooter scaleWithDoc="0">
    <oddHeader>&amp;L&amp;G</oddHeader>
    <oddFooter xml:space="preserve">&amp;CRua da Tiriva, 111 - Colombo/PR
41 3663-2544 / 41 99236-6192 / 41 99194-6985
moveisacquamob@gmail.com
</oddFooter>
  </headerFooter>
  <drawing r:id="rId2"/>
  <legacyDrawingHF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B2:M9"/>
  <sheetViews>
    <sheetView showGridLines="0" workbookViewId="0">
      <selection activeCell="B10" sqref="B10"/>
    </sheetView>
  </sheetViews>
  <sheetFormatPr defaultRowHeight="15" x14ac:dyDescent="0.25"/>
  <cols>
    <col min="2" max="2" width="16.5703125" bestFit="1" customWidth="1"/>
    <col min="3" max="3" width="14.7109375" bestFit="1" customWidth="1"/>
    <col min="4" max="4" width="13.85546875" bestFit="1" customWidth="1"/>
    <col min="5" max="5" width="17.140625" bestFit="1" customWidth="1"/>
    <col min="6" max="6" width="16.42578125" bestFit="1" customWidth="1"/>
    <col min="7" max="7" width="10.5703125" bestFit="1" customWidth="1"/>
    <col min="9" max="9" width="12" bestFit="1" customWidth="1"/>
    <col min="10" max="10" width="15.28515625" bestFit="1" customWidth="1"/>
    <col min="11" max="11" width="15.85546875" bestFit="1" customWidth="1"/>
    <col min="12" max="12" width="14.7109375" bestFit="1" customWidth="1"/>
    <col min="13" max="13" width="15" bestFit="1" customWidth="1"/>
  </cols>
  <sheetData>
    <row r="2" spans="2:13" x14ac:dyDescent="0.25">
      <c r="B2" s="23" t="s">
        <v>18</v>
      </c>
      <c r="C2" s="24" t="s">
        <v>2</v>
      </c>
      <c r="D2" s="24" t="s">
        <v>3</v>
      </c>
      <c r="E2" s="24" t="s">
        <v>4</v>
      </c>
      <c r="F2" s="24" t="s">
        <v>5</v>
      </c>
      <c r="G2" s="24" t="s">
        <v>6</v>
      </c>
      <c r="I2" s="43" t="s">
        <v>23</v>
      </c>
      <c r="J2" s="43" t="s">
        <v>24</v>
      </c>
      <c r="K2" s="43" t="s">
        <v>25</v>
      </c>
      <c r="L2" s="43" t="s">
        <v>26</v>
      </c>
      <c r="M2" s="43" t="s">
        <v>27</v>
      </c>
    </row>
    <row r="3" spans="2:13" x14ac:dyDescent="0.25">
      <c r="B3" s="25" t="s">
        <v>22</v>
      </c>
      <c r="C3" s="41">
        <f>1.22*2.44</f>
        <v>2.9767999999999999</v>
      </c>
      <c r="D3" s="26">
        <v>94.33</v>
      </c>
      <c r="E3" s="26">
        <v>177.82</v>
      </c>
      <c r="F3" s="26">
        <v>283.01</v>
      </c>
      <c r="G3" s="26">
        <v>377.34</v>
      </c>
      <c r="I3" s="42" t="s">
        <v>28</v>
      </c>
      <c r="J3" s="44">
        <v>140</v>
      </c>
      <c r="K3" s="44">
        <v>295</v>
      </c>
      <c r="L3" s="44">
        <v>150</v>
      </c>
      <c r="M3" s="44">
        <v>270</v>
      </c>
    </row>
    <row r="4" spans="2:13" x14ac:dyDescent="0.25">
      <c r="K4" s="1"/>
      <c r="L4" s="1"/>
      <c r="M4" s="1"/>
    </row>
    <row r="5" spans="2:13" x14ac:dyDescent="0.25">
      <c r="B5" s="20" t="s">
        <v>9</v>
      </c>
      <c r="C5" s="21" t="s">
        <v>0</v>
      </c>
      <c r="D5" s="21" t="s">
        <v>7</v>
      </c>
      <c r="E5" s="21" t="s">
        <v>8</v>
      </c>
      <c r="F5" s="21" t="s">
        <v>10</v>
      </c>
      <c r="G5" s="22" t="s">
        <v>1</v>
      </c>
      <c r="H5" s="5"/>
      <c r="I5" s="45" t="s">
        <v>30</v>
      </c>
      <c r="J5" s="47" t="s">
        <v>31</v>
      </c>
      <c r="K5" s="46" t="s">
        <v>32</v>
      </c>
      <c r="L5" s="46" t="s">
        <v>33</v>
      </c>
      <c r="M5" s="46" t="s">
        <v>34</v>
      </c>
    </row>
    <row r="6" spans="2:13" x14ac:dyDescent="0.25">
      <c r="B6" s="27">
        <v>7</v>
      </c>
      <c r="C6" s="28">
        <v>10</v>
      </c>
      <c r="D6" s="28">
        <v>110</v>
      </c>
      <c r="E6" s="28">
        <v>135</v>
      </c>
      <c r="F6" s="28">
        <v>135</v>
      </c>
      <c r="G6" s="29">
        <f>1.9*1.1</f>
        <v>2.09</v>
      </c>
      <c r="I6" s="42" t="s">
        <v>35</v>
      </c>
      <c r="J6" s="44">
        <v>140</v>
      </c>
      <c r="K6" s="44">
        <v>295</v>
      </c>
      <c r="L6" s="44">
        <v>150</v>
      </c>
      <c r="M6" s="44">
        <v>270</v>
      </c>
    </row>
    <row r="7" spans="2:13" x14ac:dyDescent="0.25">
      <c r="H7" s="1"/>
      <c r="I7" s="1"/>
      <c r="J7" s="1"/>
      <c r="K7" s="1"/>
      <c r="L7" s="1"/>
      <c r="M7" s="1"/>
    </row>
    <row r="8" spans="2:13" x14ac:dyDescent="0.25">
      <c r="B8" s="33" t="s">
        <v>19</v>
      </c>
      <c r="C8" s="34" t="s">
        <v>20</v>
      </c>
      <c r="D8" s="34" t="s">
        <v>21</v>
      </c>
      <c r="E8" s="35" t="s">
        <v>37</v>
      </c>
    </row>
    <row r="9" spans="2:13" x14ac:dyDescent="0.25">
      <c r="B9" s="36" t="s">
        <v>41</v>
      </c>
      <c r="C9" s="39">
        <v>45972</v>
      </c>
      <c r="D9" s="37">
        <v>3092</v>
      </c>
      <c r="E9" s="38">
        <v>4</v>
      </c>
    </row>
  </sheetData>
  <sheetProtection algorithmName="SHA-512" hashValue="P9lOJJG1eUhV4acWIEGkkpnEpyOGRsk6aEY4S6iTcbk7O94i9yaVlKLy8AGBwCgNtVbqaj/BPI/mzSiLE7xVNA==" saltValue="lptsNVNCWx78al/ebtvvZA==" spinCount="100000" sheet="1" objects="1" scenarios="1"/>
  <dataValidations disablePrompts="1" count="1">
    <dataValidation type="whole" allowBlank="1" showInputMessage="1" showErrorMessage="1" errorTitle="Número inválido" error="Por favor, insira um número entre 1 e 5" sqref="E9">
      <formula1>1</formula1>
      <formula2>5</formula2>
    </dataValidation>
  </dataValidations>
  <hyperlinks>
    <hyperlink ref="J5" r:id="rId1"/>
    <hyperlink ref="K5" r:id="rId2"/>
    <hyperlink ref="L5" r:id="rId3"/>
    <hyperlink ref="M5" r:id="rId4"/>
  </hyperlinks>
  <pageMargins left="0.511811024" right="0.511811024" top="0.78740157499999996" bottom="0.78740157499999996" header="0.31496062000000002" footer="0.31496062000000002"/>
  <tableParts count="5">
    <tablePart r:id="rId5"/>
    <tablePart r:id="rId6"/>
    <tablePart r:id="rId7"/>
    <tablePart r:id="rId8"/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ORÇAMENTO</vt:lpstr>
      <vt:lpstr>ORÇAMENTO!Area_de_impressao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 TRABALHO</dc:creator>
  <cp:lastModifiedBy>PC TRABALHO</cp:lastModifiedBy>
  <cp:lastPrinted>2025-11-03T16:18:50Z</cp:lastPrinted>
  <dcterms:created xsi:type="dcterms:W3CDTF">2024-06-20T11:26:17Z</dcterms:created>
  <dcterms:modified xsi:type="dcterms:W3CDTF">2025-11-12T20:01:59Z</dcterms:modified>
</cp:coreProperties>
</file>