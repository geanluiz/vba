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0" i="5"/>
  <c r="Z6" i="5" l="1"/>
  <c r="V3" i="5" l="1"/>
  <c r="F12" i="5" l="1"/>
</calcChain>
</file>

<file path=xl/sharedStrings.xml><?xml version="1.0" encoding="utf-8"?>
<sst xmlns="http://schemas.openxmlformats.org/spreadsheetml/2006/main" count="44" uniqueCount="44">
  <si>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</si>
  <si>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</si>
  <si>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</si>
  <si>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</si>
  <si>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</si>
  <si>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</si>
  <si>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</si>
  <si>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</si>
  <si>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</si>
  <si>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</si>
  <si>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</si>
  <si>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</si>
  <si>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</si>
  <si>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</si>
  <si>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</si>
  <si>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</si>
  <si>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</si>
  <si>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</si>
  <si>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</si>
  <si>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</si>
  <si>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</si>
  <si>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</si>
  <si>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MARKUP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</si>
  <si>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</si>
  <si>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</si>
  <si>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</si>
  <si>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</si>
  <si>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</si>
  <si>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</si>
  <si>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</si>
  <si>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</si>
  <si>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DATA: 19/08/2025</t>
  </si>
  <si>
    <t>ACQUAMOB</t>
  </si>
  <si>
    <t>CLIENTE: ACQUAMOB</t>
  </si>
  <si>
    <t>ORÇAMENTO Nº 3026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</si>
  <si>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</si>
  <si>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</si>
  <si>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</si>
  <si>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</si>
  <si>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</si>
  <si>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</si>
  <si>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</si>
  <si>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Tampo em granito Verde Labrador med. 80x50cm com rodopia de 7cm, acabamento em meia esquadria e cuba Redonda em louça branca.</t>
    </r>
  </si>
  <si>
    <t>ACRES.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</si>
</sst>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5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0" fontId="14" fillId="0" borderId="3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right"/>
    </xf>
    <xf numFmtId="0" fontId="14" fillId="0" borderId="0" xfId="0" applyFont="1" applyFill="1" applyAlignment="1">
      <alignment horizontal="right"/>
    </xf>
    <xf numFmtId="0" fontId="14" fillId="0" borderId="0" xfId="0" applyFont="1" applyFill="1" applyBorder="1" applyAlignment="1" applyProtection="1">
      <alignment horizontal="right"/>
    </xf>
    <xf numFmtId="44" fontId="14" fillId="0" borderId="0" xfId="1" applyFont="1" applyFill="1" applyBorder="1" applyProtection="1">
      <protection locked="0"/>
    </xf>
    <xf numFmtId="44" fontId="14" fillId="0" borderId="3" xfId="1" applyFont="1" applyBorder="1" applyAlignment="1" applyProtection="1">
      <alignment horizontal="center" vertical="center"/>
      <protection locked="0"/>
    </xf>
    <xf numFmtId="44" fontId="14" fillId="0" borderId="5" xfId="1" applyFont="1" applyBorder="1" applyAlignment="1" applyProtection="1">
      <alignment horizontal="center" vertical="center"/>
      <protection locked="0"/>
    </xf>
    <xf numFmtId="44" fontId="14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5" fillId="0" borderId="9" xfId="2" applyFont="1" applyFill="1" applyBorder="1" applyAlignment="1">
      <alignment horizontal="center"/>
    </xf>
    <xf numFmtId="0" fontId="15" fillId="0" borderId="10" xfId="2" applyFont="1" applyFill="1" applyBorder="1" applyAlignment="1">
      <alignment horizontal="center"/>
    </xf>
    <xf numFmtId="0" fontId="15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4" fillId="0" borderId="0" xfId="0" applyFont="1" applyFill="1" applyBorder="1" applyProtection="1">
      <protection locked="0"/>
    </xf>
    <xf numFmtId="0" fontId="8" fillId="0" borderId="2" xfId="0" applyNumberFormat="1" applyFont="1" applyFill="1" applyBorder="1" applyAlignment="1" applyProtection="1">
      <alignment horizontal="center" vertical="center"/>
    </xf>
    <xf numFmtId="0" fontId="8" fillId="0" borderId="1" xfId="2" applyNumberFormat="1" applyFont="1" applyFill="1" applyBorder="1" applyAlignment="1" applyProtection="1">
      <alignment horizontal="center" vertical="center"/>
    </xf>
    <xf numFmtId="44" fontId="16" fillId="0" borderId="0" xfId="1" applyFont="1" applyFill="1" applyBorder="1" applyAlignment="1" applyProtection="1">
      <alignment horizontal="right"/>
    </xf>
    <xf numFmtId="0" fontId="16" fillId="0" borderId="0" xfId="0" applyFont="1" applyFill="1" applyAlignment="1">
      <alignment horizontal="right"/>
    </xf>
    <xf numFmtId="44" fontId="16" fillId="0" borderId="0" xfId="1" applyFont="1" applyFill="1" applyBorder="1" applyAlignment="1" applyProtection="1">
      <alignment horizontal="center" vertical="center"/>
      <protection locked="0"/>
    </xf>
    <xf numFmtId="44" fontId="9" fillId="0" borderId="2" xfId="0" applyNumberFormat="1" applyFont="1" applyFill="1" applyBorder="1" applyAlignment="1" applyProtection="1">
      <alignment horizontal="center" vertical="center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2" fillId="0" borderId="2" xfId="1" applyNumberFormat="1" applyFont="1" applyFill="1" applyBorder="1" applyAlignment="1" applyProtection="1">
      <alignment horizontal="center" vertical="center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7" xfId="2" applyFont="1" applyFill="1" applyBorder="1" applyAlignment="1" applyProtection="1">
      <alignment horizontal="left" vertical="center" wrapText="1"/>
      <protection locked="0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0" fontId="18" fillId="0" borderId="0" xfId="5" applyFont="1" applyFill="1" applyAlignment="1">
      <alignment horizontal="right"/>
    </xf>
    <xf numFmtId="165" fontId="0" fillId="0" borderId="7" xfId="4" applyNumberFormat="1" applyFont="1" applyFill="1" applyBorder="1" applyProtection="1">
      <protection locked="0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65" formatCode="0.000%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9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7</xdr:col>
      <xdr:colOff>31750</xdr:colOff>
      <xdr:row>1</xdr:row>
      <xdr:rowOff>127000</xdr:rowOff>
    </xdr:from>
    <xdr:to>
      <xdr:col>9</xdr:col>
      <xdr:colOff>898525</xdr:colOff>
      <xdr:row>15</xdr:row>
      <xdr:rowOff>104775</xdr:rowOff>
    </xdr:to>
    <xdr:grpSp>
      <xdr:nvGrpSpPr>
        <xdr:cNvPr id="6" name="grupoBtns"/>
        <xdr:cNvGrpSpPr/>
      </xdr:nvGrpSpPr>
      <xdr:grpSpPr>
        <a:xfrm>
          <a:off x="8128000" y="317500"/>
          <a:ext cx="2867025" cy="4416425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9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3" name="OrcamentTbl" displayName="OrcamentTbl" ref="B9:F12" totalsRowCount="1" headerRowDxfId="58" dataDxfId="33" totalsRowDxfId="22" tableBorderDxfId="57" totalsRowBorderDxfId="56">
  <autoFilter ref="B9:F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2" totalsRowDxfId="27" dataCellStyle="Normal 2"/>
    <tableColumn id="2" name="DESCRIÇÃO" totalsRowLabel="TOTAL" dataDxfId="31" totalsRowDxfId="26" dataCellStyle="Normal 2"/>
    <tableColumn id="3" name="QTDE" dataDxfId="30" totalsRowDxfId="25" dataCellStyle="Normal 2"/>
    <tableColumn id="4" name="VALOR UNT." dataDxfId="29" totalsRowDxfId="24" dataCellStyle="Moeda 2"/>
    <tableColumn id="5" name="SUB TOTAL" totalsRowFunction="custom" dataDxfId="28" totalsRowDxfId="23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5" dataDxfId="5" tableBorderDxfId="54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4"/>
    <tableColumn id="1" name="m²" dataDxfId="2">
      <calculatedColumnFormula>1.22*2.44</calculatedColumnFormula>
    </tableColumn>
    <tableColumn id="2" name="5mm" dataDxfId="3"/>
    <tableColumn id="3" name="10mm" dataDxfId="8"/>
    <tableColumn id="4" name="15mm" dataDxfId="7"/>
    <tableColumn id="5" name="20mm" dataDxfId="6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3" dataDxfId="15" tableBorderDxfId="52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1" dataCellStyle="Moeda"/>
    <tableColumn id="2" name="PUXADOR" dataDxfId="20" dataCellStyle="Moeda"/>
    <tableColumn id="3" name="TINTA m²" dataDxfId="19" dataCellStyle="Moeda"/>
    <tableColumn id="4" name="ESPELHO m²" dataDxfId="18" dataCellStyle="Moeda"/>
    <tableColumn id="5" name="CORREDIÇA" dataDxfId="17" dataCellStyle="Moeda"/>
    <tableColumn id="6" name="PÉ" dataDxfId="16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U8:Y9" totalsRowShown="0" headerRowDxfId="51" dataDxfId="9" headerRowBorderDxfId="50" tableBorderDxfId="49" totalsRowBorderDxfId="48" headerRowCellStyle="Normal 2">
  <autoFilter ref="U8:Y9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LIENTE" dataDxfId="14" dataCellStyle="Normal 2"/>
    <tableColumn id="2" name="DATA" dataDxfId="13" dataCellStyle="Normal 2"/>
    <tableColumn id="3" name="Nº" dataDxfId="12" dataCellStyle="Normal 2"/>
    <tableColumn id="4" name="MARKUP" dataDxfId="11" dataCellStyle="Normal 2"/>
    <tableColumn id="5" name="ACRES." dataDxfId="10" dataCellStyle="Porcentage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7" dataDxfId="46" tableBorderDxfId="45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4" dataCellStyle="Moeda"/>
    <tableColumn id="4" name="Cinza Andorinha" dataDxfId="43" dataCellStyle="Moeda"/>
    <tableColumn id="5" name="Branco Itaúnas" dataDxfId="42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41" dataDxfId="40" tableBorderDxfId="39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8" dataCellStyle="Moeda"/>
    <tableColumn id="2" name="Redonda branca" dataDxfId="37" dataCellStyle="Moeda"/>
    <tableColumn id="3" name="Redonda Slim" dataDxfId="36" dataCellStyle="Moeda"/>
    <tableColumn id="4" name="Retangular" dataDxfId="35" dataCellStyle="Moeda"/>
    <tableColumn id="5" name="Retangular Slim" dataDxfId="34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mercadolivre.com.br/cuba-para-banheiro-de-apoio-deca-l55-branco-brilhante/p/MLB9513288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K12" sqref="K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  <c r="U2" s="24" t="s">
        <v>18</v>
      </c>
      <c r="V2" s="25" t="s">
        <v>2</v>
      </c>
      <c r="W2" s="25" t="s">
        <v>3</v>
      </c>
      <c r="X2" s="25" t="s">
        <v>4</v>
      </c>
      <c r="Y2" s="25" t="s">
        <v>5</v>
      </c>
      <c r="Z2" s="25" t="s">
        <v>6</v>
      </c>
      <c r="AB2" s="46" t="s">
        <v>24</v>
      </c>
      <c r="AC2" s="46" t="s">
        <v>25</v>
      </c>
      <c r="AD2" s="46" t="s">
        <v>26</v>
      </c>
      <c r="AE2" s="46" t="s">
        <v>27</v>
      </c>
      <c r="AF2" s="46" t="s">
        <v>28</v>
      </c>
    </row>
    <row r="3" spans="2:34" ht="15.75" customHeight="1" x14ac:dyDescent="0.25">
      <c r="B3" s="14"/>
      <c r="C3" s="14"/>
      <c r="D3" s="14"/>
      <c r="E3" s="61" t="s">
        <v>33</v>
      </c>
      <c r="F3" s="61"/>
      <c r="U3" s="26" t="s">
        <v>23</v>
      </c>
      <c r="V3" s="42">
        <f>1.22*2.44</f>
        <v>2.9767999999999999</v>
      </c>
      <c r="W3" s="27">
        <v>94.33</v>
      </c>
      <c r="X3" s="27">
        <v>177.82</v>
      </c>
      <c r="Y3" s="27">
        <v>283.01</v>
      </c>
      <c r="Z3" s="27">
        <v>377.34</v>
      </c>
      <c r="AB3" s="45" t="s">
        <v>29</v>
      </c>
      <c r="AC3" s="47">
        <v>140</v>
      </c>
      <c r="AD3" s="47">
        <v>295</v>
      </c>
      <c r="AE3" s="47">
        <v>150</v>
      </c>
      <c r="AF3" s="47">
        <v>270</v>
      </c>
    </row>
    <row r="4" spans="2:34" ht="15.75" customHeight="1" x14ac:dyDescent="0.25">
      <c r="D4" s="3"/>
      <c r="E4" s="61" t="s">
        <v>31</v>
      </c>
      <c r="F4" s="61"/>
      <c r="H4" s="33"/>
      <c r="I4" s="33"/>
      <c r="J4" s="33"/>
      <c r="K4" s="33"/>
      <c r="L4" s="33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8" t="s">
        <v>34</v>
      </c>
      <c r="F5" s="58"/>
      <c r="M5" s="18"/>
      <c r="U5" s="21" t="s">
        <v>9</v>
      </c>
      <c r="V5" s="22" t="s">
        <v>0</v>
      </c>
      <c r="W5" s="22" t="s">
        <v>7</v>
      </c>
      <c r="X5" s="22" t="s">
        <v>8</v>
      </c>
      <c r="Y5" s="22" t="s">
        <v>10</v>
      </c>
      <c r="Z5" s="23" t="s">
        <v>1</v>
      </c>
      <c r="AB5" s="46" t="s">
        <v>36</v>
      </c>
      <c r="AC5" s="62" t="s">
        <v>37</v>
      </c>
      <c r="AD5" s="62" t="s">
        <v>38</v>
      </c>
      <c r="AE5" s="62" t="s">
        <v>39</v>
      </c>
      <c r="AF5" s="62" t="s">
        <v>40</v>
      </c>
    </row>
    <row r="6" spans="2:34" ht="15.75" x14ac:dyDescent="0.25">
      <c r="B6" s="12"/>
      <c r="C6" s="12"/>
      <c r="O6"/>
      <c r="P6"/>
      <c r="Q6"/>
      <c r="R6"/>
      <c r="S6"/>
      <c r="T6"/>
      <c r="U6" s="28">
        <v>7</v>
      </c>
      <c r="V6" s="29">
        <v>10</v>
      </c>
      <c r="W6" s="29">
        <v>110</v>
      </c>
      <c r="X6" s="29">
        <v>135</v>
      </c>
      <c r="Y6" s="29">
        <v>135</v>
      </c>
      <c r="Z6" s="30">
        <f>1.9*1.1</f>
        <v>2.09</v>
      </c>
      <c r="AB6" s="45" t="s">
        <v>41</v>
      </c>
      <c r="AC6" s="47">
        <v>140</v>
      </c>
      <c r="AD6" s="47">
        <v>295</v>
      </c>
      <c r="AE6" s="47">
        <v>150</v>
      </c>
      <c r="AF6" s="47">
        <v>270</v>
      </c>
      <c r="AG6" s="1"/>
      <c r="AH6" s="1"/>
    </row>
    <row r="7" spans="2:34" ht="15.75" x14ac:dyDescent="0.25">
      <c r="B7" s="12"/>
      <c r="C7" s="12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30</v>
      </c>
      <c r="AH7" s="1"/>
    </row>
    <row r="8" spans="2:34" ht="20.25" customHeight="1" x14ac:dyDescent="0.25">
      <c r="B8" s="13"/>
      <c r="C8" s="13"/>
      <c r="U8" s="34" t="s">
        <v>19</v>
      </c>
      <c r="V8" s="35" t="s">
        <v>20</v>
      </c>
      <c r="W8" s="35" t="s">
        <v>21</v>
      </c>
      <c r="X8" s="36" t="s">
        <v>22</v>
      </c>
      <c r="Y8" s="35" t="s">
        <v>43</v>
      </c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6"/>
      <c r="M9" s="16"/>
      <c r="U9" s="37" t="s">
        <v>32</v>
      </c>
      <c r="V9" s="40">
        <v>45888</v>
      </c>
      <c r="W9" s="38">
        <v>3026</v>
      </c>
      <c r="X9" s="39">
        <v>3</v>
      </c>
      <c r="Y9" s="63">
        <v>0.12232999999999999</v>
      </c>
    </row>
    <row r="10" spans="2:34" s="16" customFormat="1" ht="57.75" x14ac:dyDescent="0.25">
      <c r="B10" s="55">
        <v>1</v>
      </c>
      <c r="C10" s="56" t="s">
        <v>35</v>
      </c>
      <c r="D10" s="20">
        <v>1</v>
      </c>
      <c r="E10" s="53">
        <v>3075</v>
      </c>
      <c r="F10" s="54">
        <f>OrcamentTbl[VALOR UNT.]*OrcamentTbl[QTDE]</f>
        <v>3075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43.5" x14ac:dyDescent="0.25">
      <c r="B11" s="44">
        <v>2</v>
      </c>
      <c r="C11" s="52" t="s">
        <v>42</v>
      </c>
      <c r="D11" s="20">
        <v>1</v>
      </c>
      <c r="E11" s="53">
        <v>560</v>
      </c>
      <c r="F11" s="54">
        <f>OrcamentTbl[VALOR UNT.]*OrcamentTbl[QTDE]</f>
        <v>560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43"/>
      <c r="C12" s="49" t="s">
        <v>17</v>
      </c>
      <c r="D12" s="50"/>
      <c r="E12" s="51"/>
      <c r="F12" s="48">
        <f>SUBTOTAL(109,OrcamentTbl[SUB TOTAL])</f>
        <v>3635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x14ac:dyDescent="0.25">
      <c r="B13" s="59"/>
      <c r="C13" s="60"/>
      <c r="D13" s="60"/>
      <c r="E13" s="60"/>
      <c r="F13" s="60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35.1" customHeight="1" x14ac:dyDescent="0.25">
      <c r="B14" s="57"/>
      <c r="C14" s="57"/>
      <c r="D14" s="57"/>
      <c r="E14" s="57"/>
      <c r="F14" s="57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35.1" customHeight="1" x14ac:dyDescent="0.25">
      <c r="B15" s="1"/>
      <c r="C15" s="1"/>
      <c r="D15" s="1"/>
      <c r="E15" s="1"/>
      <c r="F15" s="7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35.1" customHeight="1" x14ac:dyDescent="0.25">
      <c r="B16" s="1"/>
      <c r="C16" s="1"/>
      <c r="D16" s="1"/>
      <c r="E16" s="1"/>
      <c r="F16" s="7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x14ac:dyDescent="0.25">
      <c r="B17" s="1"/>
      <c r="C17" s="1"/>
      <c r="D17" s="1"/>
      <c r="E17" s="1"/>
      <c r="F17" s="41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1" customFormat="1" ht="35.1" customHeight="1" x14ac:dyDescent="0.25">
      <c r="B24" s="1"/>
      <c r="C24" s="1"/>
      <c r="D24" s="1"/>
      <c r="E24" s="1"/>
      <c r="F24" s="7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</row>
  </sheetData>
  <sheetProtection algorithmName="SHA-512" hashValue="woxcJOVio3ig6lHGZ/KiqgbLxMuUMarmGvusFLZEXntBdy8Yvk6cOrTg4BP3Fotu+WVWXYj7NZv02eqZfVqsog==" saltValue="mFIq2+sUrAFlbFQM0SjDtQ==" spinCount="100000" sheet="1" objects="1" scenarios="1"/>
  <mergeCells count="5">
    <mergeCell ref="B14:F14"/>
    <mergeCell ref="E5:F5"/>
    <mergeCell ref="B13:F13"/>
    <mergeCell ref="E3:F3"/>
    <mergeCell ref="E4:F4"/>
  </mergeCell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2025-04-07T19:15:59Z</cp:lastPrinted>
  <dcterms:created xsi:type="dcterms:W3CDTF">2024-06-20T11:26:17Z</dcterms:created>
  <dcterms:modified xsi:type="dcterms:W3CDTF">2025-08-20T20:11:54Z</dcterms:modified>
</cp:coreProperties>
</file>