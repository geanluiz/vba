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ORÇAMENTO!$B$1:$F$11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5" l="1"/>
  <c r="F11" i="5" l="1"/>
</calcChain>
</file>

<file path=xl/sharedStrings.xml><?xml version="1.0" encoding="utf-8"?>
<sst xmlns="http://schemas.openxmlformats.org/spreadsheetml/2006/main" count="34" uniqueCount="34">
  <si>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</si>
  <si>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</si>
  <si>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</si>
  <si>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</si>
  <si>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</si>
  <si>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</si>
  <si>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</si>
  <si>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</si>
  <si>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</si>
  <si>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</si>
  <si>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</si>
  <si>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</si>
  <si>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</si>
  <si>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</si>
  <si>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</si>
  <si>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</si>
  <si>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</si>
  <si>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</si>
  <si>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</si>
  <si>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</si>
  <si>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</si>
  <si>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</si>
  <si>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</si>
  <si>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</si>
  <si>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ORÇAMENTO Nº 3025</t>
  </si>
  <si>
    <t>ZELI</t>
  </si>
  <si>
    <t>CLIENTE: ZELI</t>
  </si>
  <si>
    <t>Cores granito</t>
  </si>
  <si>
    <t>Verde Labrador</t>
  </si>
  <si>
    <t>Preto São Gabriel</t>
  </si>
  <si>
    <t>Cinza Andorinha</t>
  </si>
  <si>
    <t>Branco Itaúnas</t>
  </si>
  <si>
    <t>t</t>
  </si>
  <si>
    <t>DATA: 07/04/2025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</si>
</sst>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57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4" fillId="0" borderId="0" xfId="0" applyFont="1" applyFill="1" applyBorder="1" applyProtection="1">
      <protection locked="0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0" fontId="8" fillId="0" borderId="2" xfId="0" applyNumberFormat="1" applyFont="1" applyFill="1" applyBorder="1" applyAlignment="1" applyProtection="1">
      <alignment horizontal="center" vertical="center"/>
    </xf>
    <xf numFmtId="44" fontId="9" fillId="0" borderId="2" xfId="1" applyFont="1" applyFill="1" applyBorder="1" applyAlignment="1" applyProtection="1">
      <alignment horizontal="center" vertical="center"/>
    </xf>
    <xf numFmtId="0" fontId="8" fillId="0" borderId="1" xfId="2" applyNumberFormat="1" applyFont="1" applyFill="1" applyBorder="1" applyAlignment="1" applyProtection="1">
      <alignment horizontal="center" vertical="center"/>
    </xf>
    <xf numFmtId="0" fontId="12" fillId="0" borderId="2" xfId="2" applyFont="1" applyFill="1" applyBorder="1" applyAlignment="1" applyProtection="1">
      <alignment horizontal="left" vertical="center" wrapText="1"/>
      <protection locked="0"/>
    </xf>
    <xf numFmtId="0" fontId="9" fillId="0" borderId="8" xfId="0" applyNumberFormat="1" applyFont="1" applyFill="1" applyBorder="1" applyAlignment="1" applyProtection="1">
      <alignment horizontal="center" vertical="center" wrapText="1"/>
    </xf>
    <xf numFmtId="0" fontId="11" fillId="0" borderId="8" xfId="0" applyNumberFormat="1" applyFont="1" applyFill="1" applyBorder="1" applyAlignment="1" applyProtection="1">
      <alignment horizontal="center" vertical="center"/>
    </xf>
    <xf numFmtId="44" fontId="11" fillId="0" borderId="7" xfId="0" applyNumberFormat="1" applyFont="1" applyFill="1" applyBorder="1" applyAlignment="1" applyProtection="1">
      <alignment horizontal="center" vertical="center"/>
    </xf>
  </cellXfs>
  <cellStyles count="4">
    <cellStyle name="Moeda" xfId="1" builtinId="4"/>
    <cellStyle name="Moeda 2" xfId="3"/>
    <cellStyle name="Normal" xfId="0" builtinId="0"/>
    <cellStyle name="Normal 2" xfId="2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indexed="64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42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13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1</xdr:row>
      <xdr:rowOff>127000</xdr:rowOff>
    </xdr:from>
    <xdr:to>
      <xdr:col>10</xdr:col>
      <xdr:colOff>327025</xdr:colOff>
      <xdr:row>13</xdr:row>
      <xdr:rowOff>60325</xdr:rowOff>
    </xdr:to>
    <xdr:grpSp>
      <xdr:nvGrpSpPr>
        <xdr:cNvPr id="2" name="GrupoBtns"/>
        <xdr:cNvGrpSpPr/>
      </xdr:nvGrpSpPr>
      <xdr:grpSpPr>
        <a:xfrm>
          <a:off x="8128000" y="317500"/>
          <a:ext cx="2733675" cy="2838450"/>
          <a:chOff x="8128000" y="889000"/>
          <a:chExt cx="2733675" cy="2771775"/>
        </a:xfrm>
      </xdr:grpSpPr>
      <xdr:sp macro="" textlink="">
        <xdr:nvSpPr>
          <xdr:cNvPr id="8" name="Retângulo 7"/>
          <xdr:cNvSpPr/>
        </xdr:nvSpPr>
        <xdr:spPr>
          <a:xfrm>
            <a:off x="8128000" y="889000"/>
            <a:ext cx="2733675" cy="2771775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42297" y="98425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57204" y="29988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61047" y="234314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9565972" y="98937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16605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66272" y="2327275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56747" y="29940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1822" y="1663242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3" name="OrcamentTbl" displayName="OrcamentTbl" ref="B9:F11" insertRow="1" totalsRowCount="1" headerRowDxfId="41" dataDxfId="40" totalsRowDxfId="3" tableBorderDxfId="39" totalsRowBorderDxfId="38">
  <autoFilter ref="B9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9" totalsRowDxfId="5" dataCellStyle="Normal 2"/>
    <tableColumn id="2" name="DESCRIÇÃO" totalsRowLabel="TOTAL" dataDxfId="28" totalsRowDxfId="2" dataCellStyle="Normal 2"/>
    <tableColumn id="3" name="QTDE" dataDxfId="27" totalsRowDxfId="1" dataCellStyle="Normal 2"/>
    <tableColumn id="4" name="VALOR UNT." dataDxfId="26" totalsRowDxfId="0" dataCellStyle="Moeda 2"/>
    <tableColumn id="5" name="SUB TOTAL" totalsRowFunction="custom" dataDxfId="25" totalsRowDxfId="4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37" dataDxfId="9" tableBorderDxfId="36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8"/>
    <tableColumn id="1" name="m²" dataDxfId="6">
      <calculatedColumnFormula>1.22*2.44</calculatedColumnFormula>
    </tableColumn>
    <tableColumn id="2" name="5mm" dataDxfId="7"/>
    <tableColumn id="3" name="10mm" dataDxfId="12"/>
    <tableColumn id="4" name="15mm" dataDxfId="11"/>
    <tableColumn id="5" name="20mm" dataDxfId="10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35" dataDxfId="18" tableBorderDxfId="34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4" dataCellStyle="Moeda"/>
    <tableColumn id="2" name="PUXADOR" dataDxfId="23" dataCellStyle="Moeda"/>
    <tableColumn id="3" name="TINTA m²" dataDxfId="22" dataCellStyle="Moeda"/>
    <tableColumn id="4" name="ESPELHO m²" dataDxfId="21" dataCellStyle="Moeda"/>
    <tableColumn id="5" name="CORREDIÇA" dataDxfId="20" dataCellStyle="Moeda"/>
    <tableColumn id="6" name="PÉ" dataDxfId="19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33" dataDxfId="13" headerRowBorderDxfId="32" tableBorderDxfId="31" totalsRowBorderDxfId="30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7" dataCellStyle="Normal 2"/>
    <tableColumn id="2" name="DATA" dataDxfId="16" dataCellStyle="Normal 2"/>
    <tableColumn id="3" name="Nº" dataDxfId="15" dataCellStyle="Normal 2"/>
    <tableColumn id="4" name="MARKUP" dataDxfId="14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coresGranito" displayName="coresGranito" ref="B3:B7" totalsRowShown="0">
  <autoFilter ref="B3:B7"/>
  <tableColumns count="1">
    <tableColumn id="1" name="Cores grani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H15" sqref="H15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8" width="11.7109375" style="1" bestFit="1" customWidth="1"/>
    <col min="9" max="9" width="12.85546875" style="1" bestFit="1" customWidth="1"/>
    <col min="10" max="12" width="12" style="1" bestFit="1" customWidth="1"/>
    <col min="13" max="13" width="13.7109375" style="1" customWidth="1"/>
    <col min="14" max="14" width="12" style="1" customWidth="1"/>
    <col min="15" max="15" width="13.140625" style="1" bestFit="1" customWidth="1"/>
    <col min="16" max="16" width="13.7109375" style="1" customWidth="1"/>
    <col min="17" max="17" width="13.28515625" style="1" customWidth="1"/>
    <col min="18" max="18" width="10.5703125" style="1" bestFit="1" customWidth="1"/>
    <col min="19" max="19" width="9" style="1" bestFit="1" customWidth="1"/>
    <col min="20" max="20" width="11.140625" style="1" bestFit="1" customWidth="1"/>
    <col min="21" max="26" width="13.28515625" customWidth="1"/>
    <col min="35" max="35" width="13.140625" style="1" bestFit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32</v>
      </c>
    </row>
    <row r="2" spans="2:34" ht="15.75" customHeight="1" x14ac:dyDescent="0.25">
      <c r="B2" s="14"/>
      <c r="C2" s="14"/>
      <c r="D2" s="14"/>
      <c r="E2" s="14"/>
      <c r="F2" s="14"/>
      <c r="U2" s="26" t="s">
        <v>18</v>
      </c>
      <c r="V2" s="27" t="s">
        <v>2</v>
      </c>
      <c r="W2" s="27" t="s">
        <v>3</v>
      </c>
      <c r="X2" s="27" t="s">
        <v>4</v>
      </c>
      <c r="Y2" s="27" t="s">
        <v>5</v>
      </c>
      <c r="Z2" s="27" t="s">
        <v>6</v>
      </c>
    </row>
    <row r="3" spans="2:34" ht="15.75" customHeight="1" x14ac:dyDescent="0.25">
      <c r="B3" s="14"/>
      <c r="C3" s="14"/>
      <c r="D3" s="14"/>
      <c r="E3" s="49" t="s">
        <v>26</v>
      </c>
      <c r="F3" s="49"/>
      <c r="U3" s="28" t="s">
        <v>23</v>
      </c>
      <c r="V3" s="44">
        <f>1.22*2.44</f>
        <v>2.9767999999999999</v>
      </c>
      <c r="W3" s="29">
        <v>94.33</v>
      </c>
      <c r="X3" s="29">
        <v>177.82</v>
      </c>
      <c r="Y3" s="29">
        <v>283.01</v>
      </c>
      <c r="Z3" s="29">
        <v>377.34</v>
      </c>
      <c r="AC3" s="1"/>
      <c r="AD3" s="1"/>
      <c r="AE3" s="1"/>
      <c r="AF3" s="1"/>
      <c r="AG3" s="1"/>
      <c r="AH3" s="1"/>
    </row>
    <row r="4" spans="2:34" ht="15.75" customHeight="1" x14ac:dyDescent="0.25">
      <c r="D4" s="3"/>
      <c r="E4" s="49" t="s">
        <v>33</v>
      </c>
      <c r="F4" s="49"/>
      <c r="H4" s="35"/>
      <c r="I4" s="35"/>
      <c r="J4" s="35"/>
      <c r="K4" s="35"/>
      <c r="L4" s="35"/>
      <c r="M4" s="18"/>
      <c r="AC4" s="1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46" t="s">
        <v>24</v>
      </c>
      <c r="F5" s="46"/>
      <c r="M5" s="18"/>
      <c r="U5" s="23" t="s">
        <v>9</v>
      </c>
      <c r="V5" s="24" t="s">
        <v>0</v>
      </c>
      <c r="W5" s="24" t="s">
        <v>7</v>
      </c>
      <c r="X5" s="24" t="s">
        <v>8</v>
      </c>
      <c r="Y5" s="24" t="s">
        <v>10</v>
      </c>
      <c r="Z5" s="25" t="s">
        <v>1</v>
      </c>
    </row>
    <row r="6" spans="2:34" ht="15.75" x14ac:dyDescent="0.25">
      <c r="B6" s="12"/>
      <c r="C6" s="12"/>
      <c r="O6"/>
      <c r="P6"/>
      <c r="Q6"/>
      <c r="R6"/>
      <c r="S6"/>
      <c r="T6"/>
      <c r="U6" s="30">
        <v>7</v>
      </c>
      <c r="V6" s="31">
        <v>10</v>
      </c>
      <c r="W6" s="31">
        <v>110</v>
      </c>
      <c r="X6" s="31">
        <v>125</v>
      </c>
      <c r="Y6" s="31">
        <v>38</v>
      </c>
      <c r="Z6" s="32">
        <v>1.9</v>
      </c>
      <c r="AC6" s="1"/>
      <c r="AD6" s="1"/>
      <c r="AE6" s="1"/>
      <c r="AF6" s="1"/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/>
      <c r="AH7" s="1"/>
    </row>
    <row r="8" spans="2:34" ht="20.25" customHeight="1" x14ac:dyDescent="0.25">
      <c r="B8" s="13"/>
      <c r="C8" s="13"/>
      <c r="U8" s="36" t="s">
        <v>19</v>
      </c>
      <c r="V8" s="37" t="s">
        <v>20</v>
      </c>
      <c r="W8" s="37" t="s">
        <v>21</v>
      </c>
      <c r="X8" s="38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39" t="s">
        <v>25</v>
      </c>
      <c r="V9" s="42">
        <v>45754</v>
      </c>
      <c r="W9" s="40">
        <v>3025</v>
      </c>
      <c r="X9" s="41">
        <v>3</v>
      </c>
    </row>
    <row r="10" spans="2:34" s="16" customFormat="1" x14ac:dyDescent="0.25">
      <c r="B10" s="52"/>
      <c r="C10" s="53"/>
      <c r="D10" s="20"/>
      <c r="E10" s="21"/>
      <c r="F10" s="22"/>
      <c r="H10" s="18"/>
      <c r="I10" s="18"/>
      <c r="J10" s="18"/>
      <c r="K10" s="18"/>
      <c r="L10" s="18"/>
      <c r="M10" s="18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s="18" customFormat="1" ht="35.1" customHeight="1" x14ac:dyDescent="0.25">
      <c r="B11" s="50"/>
      <c r="C11" s="54" t="s">
        <v>17</v>
      </c>
      <c r="D11" s="55"/>
      <c r="E11" s="56"/>
      <c r="F11" s="51">
        <f>SUBTOTAL(109,OrcamentTbl[SUB TOTAL])</f>
        <v>0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2:34" s="18" customFormat="1" x14ac:dyDescent="0.25">
      <c r="B12" s="47"/>
      <c r="C12" s="48"/>
      <c r="D12" s="48"/>
      <c r="E12" s="48"/>
      <c r="F12" s="48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</row>
    <row r="13" spans="2:34" s="18" customFormat="1" ht="35.1" customHeight="1" x14ac:dyDescent="0.25">
      <c r="B13" s="45"/>
      <c r="C13" s="45"/>
      <c r="D13" s="45"/>
      <c r="E13" s="45"/>
      <c r="F13" s="45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</row>
    <row r="14" spans="2:34" s="18" customFormat="1" x14ac:dyDescent="0.25">
      <c r="B14" s="1"/>
      <c r="C14" s="1"/>
      <c r="D14" s="1"/>
      <c r="E14" s="1"/>
      <c r="F14" s="7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</row>
    <row r="15" spans="2:34" s="18" customFormat="1" ht="35.1" customHeight="1" x14ac:dyDescent="0.25">
      <c r="B15" s="1"/>
      <c r="C15" s="1"/>
      <c r="D15" s="1"/>
      <c r="E15" s="1"/>
      <c r="F15" s="7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</row>
    <row r="16" spans="2:34" s="18" customFormat="1" x14ac:dyDescent="0.25">
      <c r="B16" s="1"/>
      <c r="C16" s="1"/>
      <c r="D16" s="1"/>
      <c r="E16" s="1"/>
      <c r="F16" s="43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</row>
    <row r="17" spans="2:34" s="18" customFormat="1" x14ac:dyDescent="0.25">
      <c r="B17" s="1"/>
      <c r="C17" s="1"/>
      <c r="D17" s="1"/>
      <c r="E17" s="1"/>
      <c r="F17" s="7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35.1" customHeigh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3" customFormat="1" ht="35.1" customHeight="1" x14ac:dyDescent="0.25">
      <c r="B24" s="1"/>
      <c r="C24" s="1"/>
      <c r="D24" s="1"/>
      <c r="E24" s="1"/>
      <c r="F24" s="7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</sheetData>
  <mergeCells count="5">
    <mergeCell ref="B13:F13"/>
    <mergeCell ref="E5:F5"/>
    <mergeCell ref="B12:F12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7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3:B7"/>
  <sheetViews>
    <sheetView showGridLines="0" workbookViewId="0">
      <selection activeCell="G14" sqref="G14"/>
    </sheetView>
  </sheetViews>
  <sheetFormatPr defaultRowHeight="15" x14ac:dyDescent="0.25"/>
  <cols>
    <col min="2" max="2" width="17.42578125" customWidth="1"/>
  </cols>
  <sheetData>
    <row r="3" spans="2:2" x14ac:dyDescent="0.25">
      <c r="B3" t="s">
        <v>27</v>
      </c>
    </row>
    <row r="4" spans="2:2" x14ac:dyDescent="0.25">
      <c r="B4" t="s">
        <v>28</v>
      </c>
    </row>
    <row r="5" spans="2:2" x14ac:dyDescent="0.25">
      <c r="B5" t="s">
        <v>29</v>
      </c>
    </row>
    <row r="6" spans="2:2" x14ac:dyDescent="0.25">
      <c r="B6" t="s">
        <v>30</v>
      </c>
    </row>
    <row r="7" spans="2:2" x14ac:dyDescent="0.25">
      <c r="B7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2025-04-07T19:15:59Z</cp:lastPrinted>
  <dcterms:created xsi:type="dcterms:W3CDTF">2024-06-20T11:26:17Z</dcterms:created>
  <dcterms:modified xsi:type="dcterms:W3CDTF">2025-04-07T20:11:31Z</dcterms:modified>
</cp:coreProperties>
</file>