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  <sheet name="Planilha1" sheetId="6" state="hidden" r:id="rId3"/>
  </sheets>
  <functionGroups builtInGroupCount="18"/>
  <definedNames>
    <definedName name="ainf">#REF!</definedName>
    <definedName name="_xlnm.Print_Area" localSheetId="0">ORÇAMENTO!$B$1:$F$12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0" i="5" l="1"/>
  <c r="V3" i="5" l="1"/>
  <c r="F12" i="5" l="1"/>
</calcChain>
</file>

<file path=xl/sharedStrings.xml><?xml version="1.0" encoding="utf-8"?>
<sst xmlns="http://schemas.openxmlformats.org/spreadsheetml/2006/main" count="35" uniqueCount="35">
  <si>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</si>
  <si>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</si>
  <si>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</si>
  <si>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</si>
  <si>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</si>
  <si>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</si>
  <si>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</si>
  <si>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</si>
  <si>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</si>
  <si>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</si>
  <si>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</si>
  <si>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</si>
  <si>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</si>
  <si>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</si>
  <si>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</si>
  <si>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</si>
  <si>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</si>
  <si>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</si>
  <si>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</si>
  <si>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</si>
  <si>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</si>
  <si>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</si>
  <si>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</si>
  <si>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</si>
  <si>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DATA: 10/01/2025</t>
  </si>
  <si>
    <t>ORÇAMENTO Nº 3025</t>
  </si>
  <si>
    <t>ZELI</t>
  </si>
  <si>
    <t>CLIENTE: ZELI</t>
  </si>
  <si>
    <t>Cores granito</t>
  </si>
  <si>
    <t>Verde Labrador</t>
  </si>
  <si>
    <t>Preto São Gabriel</t>
  </si>
  <si>
    <t>Cinza Andorinha</t>
  </si>
  <si>
    <t>Branco Itaúnas</t>
  </si>
  <si>
    <t>BANHEIRO: Armário suspenso a prova dagua pintado na cor Branca med. 80x80x17cm com 1 porta, molduras, espelho e ferragens em inox e; Balcão a prova dagua pintado na cor Branca med. 80x70x50cm com 2 portas com moldura e almofada e ferragens em inox.</t>
  </si>
  <si>
    <t>BANHEIRO: Armário suspenso a prova dagua pintado na cor Branca med. 0,5x80x17cm com 1 porta, molduras, espelho e ferragens em inox e; Balcão a prova dagua pintado na cor Branca med. 80x70x50cm com 2 portas com moldura e almofada e ferragens em inox.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</si>
</sst>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62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8" fillId="0" borderId="2" xfId="2" applyNumberFormat="1" applyFont="1" applyFill="1" applyBorder="1" applyAlignment="1" applyProtection="1">
      <alignment horizontal="center" vertical="center"/>
    </xf>
    <xf numFmtId="0" fontId="12" fillId="0" borderId="9" xfId="2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6" fillId="0" borderId="1" xfId="2" applyNumberFormat="1" applyFont="1" applyFill="1" applyBorder="1" applyAlignment="1" applyProtection="1">
      <alignment horizontal="center" vertical="center"/>
    </xf>
    <xf numFmtId="0" fontId="19" fillId="0" borderId="2" xfId="2" applyFont="1" applyFill="1" applyBorder="1" applyAlignment="1" applyProtection="1">
      <alignment horizontal="left" vertical="center" wrapText="1"/>
      <protection locked="0"/>
    </xf>
    <xf numFmtId="0" fontId="16" fillId="0" borderId="2" xfId="2" applyNumberFormat="1" applyFont="1" applyFill="1" applyBorder="1" applyAlignment="1" applyProtection="1">
      <alignment horizontal="center" vertical="center"/>
      <protection locked="0"/>
    </xf>
    <xf numFmtId="44" fontId="17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8" xfId="0" applyNumberFormat="1" applyFont="1" applyFill="1" applyBorder="1" applyAlignment="1" applyProtection="1">
      <alignment horizontal="center" vertical="center" wrapText="1"/>
    </xf>
    <xf numFmtId="0" fontId="11" fillId="0" borderId="8" xfId="0" applyNumberFormat="1" applyFont="1" applyFill="1" applyBorder="1" applyAlignment="1" applyProtection="1">
      <alignment horizontal="center" vertical="center"/>
    </xf>
    <xf numFmtId="44" fontId="11" fillId="0" borderId="7" xfId="0" applyNumberFormat="1" applyFont="1" applyFill="1" applyBorder="1" applyAlignment="1" applyProtection="1">
      <alignment horizontal="center" vertical="center"/>
    </xf>
    <xf numFmtId="44" fontId="9" fillId="0" borderId="2" xfId="0" applyNumberFormat="1" applyFont="1" applyFill="1" applyBorder="1" applyAlignment="1" applyProtection="1">
      <alignment horizontal="center" vertical="center"/>
    </xf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colors>
    <mruColors>
      <color rgb="FF9EC4E6"/>
      <color rgb="FF91BCE3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10</xdr:col>
      <xdr:colOff>327025</xdr:colOff>
      <xdr:row>10</xdr:row>
      <xdr:rowOff>593725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57204" y="29988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latin typeface="Bahnschrift SemiCondensed" panose="020B0502040204020203" pitchFamily="34" charset="0"/>
              </a:rPr>
              <a:t> PDF</a:t>
            </a:r>
            <a:endParaRPr lang="pt-BR" sz="1600"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61047" y="234314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9565972" y="98937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1822" y="1663242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2" totalsRowCount="1" headerRowDxfId="41" dataDxfId="40" totalsRowDxfId="19" tableBorderDxfId="39" totalsRowBorderDxfId="38">
  <autoFilter ref="B9:F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9" totalsRowDxfId="24" dataCellStyle="Normal 2"/>
    <tableColumn id="2" name="DESCRIÇÃO" totalsRowLabel="TOTAL" dataDxfId="28" totalsRowDxfId="23" dataCellStyle="Normal 2"/>
    <tableColumn id="3" name="QTDE" dataDxfId="27" totalsRowDxfId="22" dataCellStyle="Normal 2"/>
    <tableColumn id="4" name="VALOR UNT." dataDxfId="26" totalsRowDxfId="21" dataCellStyle="Moeda 2">
      <calculatedColumnFormula>ROUND((1975+(110*(0.75+0.1)*(0.45+0.1)*markup(3))+(200*markup(2))+60+30)*1.12233,0)+1</calculatedColumnFormula>
    </tableColumn>
    <tableColumn id="5" name="SUB TOTAL" totalsRowFunction="custom" dataDxfId="25" totalsRowDxfId="20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37" dataDxfId="3" tableBorderDxfId="36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0">
      <calculatedColumnFormula>1.22*2.44</calculatedColumnFormula>
    </tableColumn>
    <tableColumn id="2" name="5mm" dataDxfId="1"/>
    <tableColumn id="3" name="10mm" dataDxfId="6"/>
    <tableColumn id="4" name="15mm" dataDxfId="5"/>
    <tableColumn id="5" name="20mm" dataDxfId="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35" dataDxfId="12" tableBorderDxfId="34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18" dataCellStyle="Moeda"/>
    <tableColumn id="2" name="PUXADOR" dataDxfId="17" dataCellStyle="Moeda"/>
    <tableColumn id="3" name="TINTA m²" dataDxfId="16" dataCellStyle="Moeda"/>
    <tableColumn id="4" name="ESPELHO m²" dataDxfId="15" dataCellStyle="Moeda"/>
    <tableColumn id="5" name="CORREDIÇA" dataDxfId="14" dataCellStyle="Moeda"/>
    <tableColumn id="6" name="PÉ" dataDxfId="13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33" dataDxfId="7" headerRowBorderDxfId="32" tableBorderDxfId="31" totalsRowBorderDxfId="30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1" dataCellStyle="Normal 2"/>
    <tableColumn id="2" name="DATA" dataDxfId="10" dataCellStyle="Normal 2"/>
    <tableColumn id="3" name="Nº" dataDxfId="9" dataCellStyle="Normal 2"/>
    <tableColumn id="4" name="MARKUP" dataDxfId="8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coresGranito" displayName="coresGranito" ref="B3:B7" totalsRowShown="0">
  <autoFilter ref="B3:B7"/>
  <tableColumns count="1">
    <tableColumn id="1" name="Cores grani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F12" sqref="F12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  <c r="M2" s="18"/>
      <c r="U2" s="26" t="s">
        <v>18</v>
      </c>
      <c r="V2" s="27" t="s">
        <v>2</v>
      </c>
      <c r="W2" s="27" t="s">
        <v>3</v>
      </c>
      <c r="X2" s="27" t="s">
        <v>4</v>
      </c>
      <c r="Y2" s="27" t="s">
        <v>5</v>
      </c>
      <c r="Z2" s="27" t="s">
        <v>6</v>
      </c>
    </row>
    <row r="3" spans="2:34" ht="15.75" customHeight="1" x14ac:dyDescent="0.25">
      <c r="B3" s="14"/>
      <c r="C3" s="14"/>
      <c r="D3" s="14"/>
      <c r="E3" s="56" t="s">
        <v>27</v>
      </c>
      <c r="F3" s="56"/>
      <c r="M3" s="18"/>
      <c r="U3" s="28" t="s">
        <v>23</v>
      </c>
      <c r="V3" s="46">
        <f>1.22*2.44</f>
        <v>2.9767999999999999</v>
      </c>
      <c r="W3" s="29">
        <v>94.33</v>
      </c>
      <c r="X3" s="29">
        <v>177.82</v>
      </c>
      <c r="Y3" s="29">
        <v>283.01</v>
      </c>
      <c r="Z3" s="29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56" t="s">
        <v>24</v>
      </c>
      <c r="F4" s="56"/>
      <c r="H4" s="35"/>
      <c r="I4" s="35"/>
      <c r="J4" s="35"/>
      <c r="K4" s="35"/>
      <c r="L4" s="35"/>
      <c r="M4" s="18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3" t="s">
        <v>25</v>
      </c>
      <c r="F5" s="53"/>
      <c r="M5" s="18"/>
      <c r="U5" s="23" t="s">
        <v>9</v>
      </c>
      <c r="V5" s="24" t="s">
        <v>0</v>
      </c>
      <c r="W5" s="24" t="s">
        <v>7</v>
      </c>
      <c r="X5" s="24" t="s">
        <v>8</v>
      </c>
      <c r="Y5" s="24" t="s">
        <v>10</v>
      </c>
      <c r="Z5" s="25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0">
        <v>7</v>
      </c>
      <c r="V6" s="31">
        <v>10</v>
      </c>
      <c r="W6" s="31">
        <v>110</v>
      </c>
      <c r="X6" s="31">
        <v>125</v>
      </c>
      <c r="Y6" s="31">
        <v>38</v>
      </c>
      <c r="Z6" s="32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36" t="s">
        <v>19</v>
      </c>
      <c r="V8" s="37" t="s">
        <v>20</v>
      </c>
      <c r="W8" s="37" t="s">
        <v>21</v>
      </c>
      <c r="X8" s="38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9" t="s">
        <v>26</v>
      </c>
      <c r="V9" s="42">
        <v>45667</v>
      </c>
      <c r="W9" s="40">
        <v>3025</v>
      </c>
      <c r="X9" s="41">
        <v>3</v>
      </c>
    </row>
    <row r="10" spans="2:34" s="16" customFormat="1" ht="57" x14ac:dyDescent="0.25">
      <c r="B10" s="44">
        <v>1</v>
      </c>
      <c r="C10" s="45" t="s">
        <v>33</v>
      </c>
      <c r="D10" s="20">
        <v>1</v>
      </c>
      <c r="E10" s="21">
        <v>2430</v>
      </c>
      <c r="F10" s="22">
        <f>OrcamentTbl[VALOR UNT.]*OrcamentTbl[QTDE]</f>
        <v>2430</v>
      </c>
      <c r="H10" s="18"/>
      <c r="I10" s="18"/>
      <c r="J10" s="18"/>
      <c r="K10" s="18"/>
      <c r="L10" s="18"/>
      <c r="M10" s="18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18" customFormat="1" ht="57" x14ac:dyDescent="0.25">
      <c r="B11" s="47">
        <v>2</v>
      </c>
      <c r="C11" s="48" t="s">
        <v>34</v>
      </c>
      <c r="D11" s="49">
        <v>1</v>
      </c>
      <c r="E11" s="50">
        <v>2005</v>
      </c>
      <c r="F11" s="51">
        <f>OrcamentTbl[VALOR UNT.]*OrcamentTbl[QTDE]</f>
        <v>2005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2:34" s="18" customFormat="1" ht="35.1" customHeight="1" x14ac:dyDescent="0.25">
      <c r="B12" s="57"/>
      <c r="C12" s="58" t="s">
        <v>17</v>
      </c>
      <c r="D12" s="59"/>
      <c r="E12" s="60"/>
      <c r="F12" s="61">
        <f>SUBTOTAL(109,OrcamentTbl[SUB TOTAL])</f>
        <v>4435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</row>
    <row r="13" spans="2:34" s="18" customFormat="1" x14ac:dyDescent="0.25">
      <c r="B13" s="54"/>
      <c r="C13" s="55"/>
      <c r="D13" s="55"/>
      <c r="E13" s="55"/>
      <c r="F13" s="55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</row>
    <row r="14" spans="2:34" s="18" customFormat="1" x14ac:dyDescent="0.25">
      <c r="B14" s="52"/>
      <c r="C14" s="52"/>
      <c r="D14" s="52"/>
      <c r="E14" s="52"/>
      <c r="F14" s="52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</row>
    <row r="15" spans="2:34" s="18" customFormat="1" x14ac:dyDescent="0.25">
      <c r="B15" s="1"/>
      <c r="C15" s="1"/>
      <c r="D15" s="1"/>
      <c r="E15" s="1"/>
      <c r="F15" s="7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</row>
    <row r="16" spans="2:34" s="18" customFormat="1" ht="35.1" customHeight="1" x14ac:dyDescent="0.25">
      <c r="B16" s="1"/>
      <c r="C16" s="1"/>
      <c r="D16" s="1"/>
      <c r="E16" s="1"/>
      <c r="F16" s="7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</row>
    <row r="17" spans="2:34" s="18" customFormat="1" ht="35.1" customHeight="1" x14ac:dyDescent="0.25">
      <c r="B17" s="1"/>
      <c r="C17" s="1"/>
      <c r="D17" s="1"/>
      <c r="E17" s="1"/>
      <c r="F17" s="43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3" customFormat="1" ht="35.1" customHeight="1" x14ac:dyDescent="0.25">
      <c r="B24" s="1"/>
      <c r="C24" s="1"/>
      <c r="D24" s="1"/>
      <c r="E24" s="1"/>
      <c r="F24" s="7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</sheetData>
  <sheetProtection algorithmName="SHA-512" hashValue="XpvLUhn+c0Pk1M5g/aKaHBiWxyY7x46UA/P3eRA+aVRVvLps/Z57G0nG+Ch/Kw+e0WQnWg4PoAsfNcWOjvsCNg==" saltValue="IT1qKOvrFGUHpfDSHhMLWA==" spinCount="100000" sheet="1" objects="1" scenarios="1"/>
  <mergeCells count="5">
    <mergeCell ref="B14:F14"/>
    <mergeCell ref="E5:F5"/>
    <mergeCell ref="B13:F1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9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3:B7"/>
  <sheetViews>
    <sheetView showGridLines="0" workbookViewId="0">
      <selection activeCell="G14" sqref="G14"/>
    </sheetView>
  </sheetViews>
  <sheetFormatPr defaultRowHeight="15" x14ac:dyDescent="0.25"/>
  <cols>
    <col min="2" max="2" width="17.42578125" customWidth="1"/>
  </cols>
  <sheetData>
    <row r="3" spans="2:2" x14ac:dyDescent="0.25">
      <c r="B3" t="s">
        <v>28</v>
      </c>
    </row>
    <row r="4" spans="2:2" x14ac:dyDescent="0.25">
      <c r="B4" t="s">
        <v>29</v>
      </c>
    </row>
    <row r="5" spans="2:2" x14ac:dyDescent="0.25">
      <c r="B5" t="s">
        <v>30</v>
      </c>
    </row>
    <row r="6" spans="2:2" x14ac:dyDescent="0.25">
      <c r="B6" t="s">
        <v>31</v>
      </c>
    </row>
    <row r="7" spans="2:2" x14ac:dyDescent="0.25">
      <c r="B7" t="s">
        <v>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ORÇAMENTO</vt:lpstr>
      <vt:lpstr>Cadastro</vt:lpstr>
      <vt:lpstr>Planilha1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2025-01-10T19:52:58Z</cp:lastPrinted>
  <dcterms:created xsi:type="dcterms:W3CDTF">2024-06-20T11:26:17Z</dcterms:created>
  <dcterms:modified xsi:type="dcterms:W3CDTF">2025-03-11T20:59:43Z</dcterms:modified>
</cp:coreProperties>
</file>