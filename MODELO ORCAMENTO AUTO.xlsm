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vba\"/>
    </mc:Choice>
  </mc:AlternateContent>
  <bookViews>
    <workbookView minimized="1" xWindow="0" yWindow="0" windowWidth="28800" windowHeight="12330"/>
  </bookViews>
  <sheets>
    <sheet name="ORÇAMENTO" sheetId="5" r:id="rId1"/>
    <sheet name="Cadastro" sheetId="7" r:id="rId2"/>
  </sheets>
  <functionGroups builtInGroupCount="18"/>
  <definedNames>
    <definedName name="ainf">#REF!</definedName>
    <definedName name="_xlnm.Print_Area" localSheetId="0">ORÇAMENTO!$B$1:$F$22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8" i="5" l="1"/>
  <c r="L19" i="5"/>
  <c r="L20" i="5"/>
  <c r="L21" i="5"/>
  <c r="L17" i="5"/>
  <c r="K18" i="5"/>
  <c r="K19" i="5"/>
  <c r="K20" i="5"/>
  <c r="K21" i="5"/>
  <c r="K17" i="5"/>
  <c r="J21" i="5"/>
  <c r="J20" i="5"/>
  <c r="J19" i="5"/>
  <c r="J18" i="5"/>
  <c r="J17" i="5"/>
  <c r="I18" i="5"/>
  <c r="I19" i="5"/>
  <c r="I20" i="5"/>
  <c r="I21" i="5"/>
  <c r="I17" i="5"/>
  <c r="F21" i="5"/>
  <c r="F20" i="5"/>
  <c r="F19" i="5"/>
  <c r="F18" i="5"/>
  <c r="F17" i="5"/>
  <c r="F16" i="5"/>
  <c r="F15" i="5"/>
  <c r="F14" i="5"/>
  <c r="F13" i="5"/>
  <c r="F12" i="5"/>
  <c r="F11" i="5"/>
  <c r="L13" i="5"/>
  <c r="L14" i="5"/>
  <c r="L15" i="5"/>
  <c r="L12" i="5"/>
  <c r="F10" i="5" l="1"/>
  <c r="Z6" i="5" l="1"/>
  <c r="V3" i="5"/>
  <c r="F22" i="5" l="1"/>
</calcChain>
</file>

<file path=xl/sharedStrings.xml><?xml version="1.0" encoding="utf-8"?>
<sst xmlns="http://schemas.openxmlformats.org/spreadsheetml/2006/main" count="53" uniqueCount="43">
  <si>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</si>
  <si>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</si>
  <si>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</si>
  <si>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</si>
  <si>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</si>
  <si>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</si>
  <si>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</si>
  <si>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</si>
  <si>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</si>
  <si>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</si>
  <si>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</si>
  <si>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</si>
  <si>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</si>
  <si>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</si>
  <si>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</si>
  <si>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</si>
  <si>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</si>
  <si>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</si>
  <si>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</si>
  <si>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</si>
  <si>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</si>
  <si>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</si>
  <si>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</si>
  <si>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</si>
  <si>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</si>
  <si>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</si>
  <si>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</si>
  <si>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</si>
  <si>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</si>
  <si>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</si>
  <si>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</si>
  <si>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</si>
  <si>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</si>
  <si>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</si>
  <si>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</si>
  <si>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</si>
  <si>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t>t</t>
  </si>
  <si>
    <t>ORÇAMENTO Nº 3090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</si>
  <si>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</si>
  <si>
    <t>TABELA</t>
  </si>
  <si>
    <r>
      <t xml:space="preserve">BANHEIRO: </t>
    </r>
    <r>
      <rPr>
        <sz val="11"/>
        <rFont val="Arial"/>
        <family val="2"/>
      </rPr>
      <t>Armário suspenso a prova dagua pintado na cor Branca med. 80x80x17cm com 1 porta, molduras, espelho e ferragens em inox e; Balcão a prova dagua pintado na cor Branca med. 80x70x50cm com 2 portas com moldura e almofada e ferragens em inox.</t>
    </r>
  </si>
  <si>
    <t xml:space="preserve">CLIENTE: </t>
  </si>
  <si>
    <t>DATA: 07/11/2025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</si>
</sst>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6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3" fillId="0" borderId="3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4" fillId="0" borderId="9" xfId="2" applyFont="1" applyFill="1" applyBorder="1" applyAlignment="1">
      <alignment horizontal="center"/>
    </xf>
    <xf numFmtId="0" fontId="14" fillId="0" borderId="10" xfId="2" applyFont="1" applyFill="1" applyBorder="1" applyAlignment="1">
      <alignment horizontal="center"/>
    </xf>
    <xf numFmtId="0" fontId="14" fillId="0" borderId="8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11" fillId="0" borderId="13" xfId="0" applyNumberFormat="1" applyFont="1" applyFill="1" applyBorder="1" applyAlignment="1" applyProtection="1">
      <alignment horizontal="center" vertical="center"/>
      <protection locked="0"/>
    </xf>
    <xf numFmtId="44" fontId="11" fillId="0" borderId="12" xfId="0" applyNumberFormat="1" applyFont="1" applyFill="1" applyBorder="1" applyAlignment="1" applyProtection="1">
      <alignment horizontal="center" vertical="center"/>
      <protection locked="0"/>
    </xf>
    <xf numFmtId="0" fontId="9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0" fontId="8" fillId="0" borderId="2" xfId="0" applyNumberFormat="1" applyFont="1" applyFill="1" applyBorder="1" applyAlignment="1" applyProtection="1">
      <alignment horizontal="center" vertical="center"/>
    </xf>
    <xf numFmtId="10" fontId="4" fillId="0" borderId="0" xfId="4" applyNumberFormat="1" applyFont="1" applyFill="1" applyProtection="1"/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44" fontId="9" fillId="0" borderId="2" xfId="0" applyNumberFormat="1" applyFont="1" applyFill="1" applyBorder="1" applyAlignment="1" applyProtection="1">
      <alignment horizontal="center" vertical="center"/>
    </xf>
    <xf numFmtId="164" fontId="4" fillId="0" borderId="0" xfId="4" applyNumberFormat="1" applyFont="1" applyFill="1" applyProtection="1"/>
    <xf numFmtId="44" fontId="4" fillId="0" borderId="0" xfId="2" applyNumberFormat="1" applyFill="1" applyProtection="1"/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24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4</xdr:row>
      <xdr:rowOff>98425</xdr:rowOff>
    </xdr:from>
    <xdr:to>
      <xdr:col>9</xdr:col>
      <xdr:colOff>898525</xdr:colOff>
      <xdr:row>12</xdr:row>
      <xdr:rowOff>228600</xdr:rowOff>
    </xdr:to>
    <xdr:grpSp>
      <xdr:nvGrpSpPr>
        <xdr:cNvPr id="6" name="grupoBtns"/>
        <xdr:cNvGrpSpPr/>
      </xdr:nvGrpSpPr>
      <xdr:grpSpPr>
        <a:xfrm>
          <a:off x="8128000" y="889000"/>
          <a:ext cx="2867025" cy="3016250"/>
          <a:chOff x="8128000" y="317500"/>
          <a:chExt cx="2733675" cy="3511550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3511550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66728" y="315583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70572" y="248391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70572" y="410836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75797" y="1105394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85322" y="1807612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61347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  <xdr:sp macro="[0]!MenuClick" textlink="">
        <xdr:nvSpPr>
          <xdr:cNvPr id="20" name="Granito"/>
          <xdr:cNvSpPr>
            <a:spLocks/>
          </xdr:cNvSpPr>
        </xdr:nvSpPr>
        <xdr:spPr>
          <a:xfrm>
            <a:off x="9591675" y="248759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Valor Granitos</a:t>
            </a:r>
          </a:p>
        </xdr:txBody>
      </xdr:sp>
      <xdr:sp macro="[0]!MenuClick" textlink="">
        <xdr:nvSpPr>
          <xdr:cNvPr id="35" name="Cubas"/>
          <xdr:cNvSpPr>
            <a:spLocks/>
          </xdr:cNvSpPr>
        </xdr:nvSpPr>
        <xdr:spPr>
          <a:xfrm>
            <a:off x="9601200" y="315434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 Cubas</a:t>
            </a:r>
            <a:endParaRPr lang="pt-BR" sz="1800">
              <a:latin typeface="Bahnschrift SemiCondensed" panose="020B0502040204020203" pitchFamily="34" charset="0"/>
            </a:endParaRP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id="13" name="OrcamentTbl" displayName="OrcamentTbl" ref="B9:F22" totalsRowCount="1" headerRowDxfId="57" dataDxfId="31" totalsRowDxfId="55" tableBorderDxfId="56" totalsRowBorderDxfId="54">
  <autoFilter ref="B9:F2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5" totalsRowDxfId="30" dataCellStyle="Normal 2"/>
    <tableColumn id="2" name="DESCRIÇÃO" totalsRowLabel="TOTAL" dataDxfId="24" totalsRowDxfId="28" dataCellStyle="Normal 2"/>
    <tableColumn id="3" name="QTDE" dataDxfId="23" totalsRowDxfId="27" dataCellStyle="Normal 2"/>
    <tableColumn id="4" name="VALOR UNT." dataDxfId="21" totalsRowDxfId="26" dataCellStyle="Moeda 2"/>
    <tableColumn id="5" name="SUB TOTAL" totalsRowFunction="custom" dataDxfId="22" totalsRowDxfId="29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53" dataDxfId="4" tableBorderDxfId="52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51" dataDxfId="14" tableBorderDxfId="50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20" dataCellStyle="Moeda"/>
    <tableColumn id="2" name="PUXADOR" dataDxfId="19" dataCellStyle="Moeda"/>
    <tableColumn id="3" name="TINTA m²" dataDxfId="18" dataCellStyle="Moeda"/>
    <tableColumn id="4" name="ESPELHO m²" dataDxfId="17" dataCellStyle="Moeda"/>
    <tableColumn id="5" name="CORREDIÇA" dataDxfId="16" dataCellStyle="Moeda"/>
    <tableColumn id="6" name="PÉ" dataDxfId="15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H2:K3" totalsRowShown="0" headerRowDxfId="49" dataDxfId="9" headerRowBorderDxfId="48" tableBorderDxfId="47" totalsRowBorderDxfId="46" headerRowCellStyle="Normal 2">
  <autoFilter ref="H2:K3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13" dataCellStyle="Normal 2"/>
    <tableColumn id="2" name="DATA" dataDxfId="12" dataCellStyle="Normal 2"/>
    <tableColumn id="3" name="Nº" dataDxfId="11" dataCellStyle="Normal 2"/>
    <tableColumn id="4" name="TABELA" dataDxfId="10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AB2:AF3" totalsRowShown="0" headerRowDxfId="45" dataDxfId="44" tableBorderDxfId="43" dataCellStyle="Moeda">
  <autoFilter ref="AB2:AF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42" dataCellStyle="Moeda"/>
    <tableColumn id="4" name="Cinza Andorinha" dataDxfId="41" dataCellStyle="Moeda"/>
    <tableColumn id="5" name="Branco Itaúnas" dataDxfId="40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AB5:AF6" totalsRowShown="0" headerRowDxfId="39" dataDxfId="38" tableBorderDxfId="37" dataCellStyle="Moeda">
  <autoFilter ref="AB5:AF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36" dataCellStyle="Moeda"/>
    <tableColumn id="2" name="Redonda branca" dataDxfId="35" dataCellStyle="Moeda"/>
    <tableColumn id="3" name="Redonda Slim" dataDxfId="34" dataCellStyle="Moeda"/>
    <tableColumn id="4" name="Retangular" dataDxfId="33" dataCellStyle="Moeda"/>
    <tableColumn id="5" name="Retangular Slim" dataDxfId="32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13" Type="http://schemas.openxmlformats.org/officeDocument/2006/relationships/table" Target="../tables/table6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5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4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3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7"/>
  <sheetViews>
    <sheetView showGridLines="0" tabSelected="1" topLeftCell="A13" zoomScaleNormal="100" workbookViewId="0">
      <selection activeCell="M21" sqref="M21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 t="s">
        <v>36</v>
      </c>
    </row>
    <row r="2" spans="2:34" ht="15.75" customHeight="1" x14ac:dyDescent="0.25">
      <c r="B2" s="14"/>
      <c r="C2" s="14"/>
      <c r="D2" s="14"/>
      <c r="E2" s="14"/>
      <c r="F2" s="14"/>
      <c r="H2" s="33" t="s">
        <v>19</v>
      </c>
      <c r="I2" s="34" t="s">
        <v>20</v>
      </c>
      <c r="J2" s="34" t="s">
        <v>21</v>
      </c>
      <c r="K2" s="35" t="s">
        <v>39</v>
      </c>
      <c r="L2" s="32"/>
      <c r="U2" s="23" t="s">
        <v>18</v>
      </c>
      <c r="V2" s="24" t="s">
        <v>2</v>
      </c>
      <c r="W2" s="24" t="s">
        <v>3</v>
      </c>
      <c r="X2" s="24" t="s">
        <v>4</v>
      </c>
      <c r="Y2" s="24" t="s">
        <v>5</v>
      </c>
      <c r="Z2" s="24" t="s">
        <v>6</v>
      </c>
      <c r="AB2" s="43" t="s">
        <v>23</v>
      </c>
      <c r="AC2" s="43" t="s">
        <v>24</v>
      </c>
      <c r="AD2" s="43" t="s">
        <v>25</v>
      </c>
      <c r="AE2" s="43" t="s">
        <v>26</v>
      </c>
      <c r="AF2" s="43" t="s">
        <v>27</v>
      </c>
    </row>
    <row r="3" spans="2:34" ht="15.75" customHeight="1" x14ac:dyDescent="0.25">
      <c r="B3" s="14"/>
      <c r="C3" s="14"/>
      <c r="D3" s="14"/>
      <c r="E3" s="62" t="s">
        <v>41</v>
      </c>
      <c r="F3" s="62"/>
      <c r="H3" s="36"/>
      <c r="I3" s="39">
        <v>45968</v>
      </c>
      <c r="J3" s="37">
        <v>3090</v>
      </c>
      <c r="K3" s="38">
        <v>5</v>
      </c>
      <c r="L3" s="5"/>
      <c r="U3" s="25" t="s">
        <v>22</v>
      </c>
      <c r="V3" s="41">
        <f>1.22*2.44</f>
        <v>2.9767999999999999</v>
      </c>
      <c r="W3" s="26">
        <v>94.33</v>
      </c>
      <c r="X3" s="26">
        <v>177.82</v>
      </c>
      <c r="Y3" s="26">
        <v>283.01</v>
      </c>
      <c r="Z3" s="26">
        <v>377.34</v>
      </c>
      <c r="AB3" s="42" t="s">
        <v>28</v>
      </c>
      <c r="AC3" s="44">
        <v>140</v>
      </c>
      <c r="AD3" s="44">
        <v>295</v>
      </c>
      <c r="AE3" s="44">
        <v>150</v>
      </c>
      <c r="AF3" s="44">
        <v>270</v>
      </c>
    </row>
    <row r="4" spans="2:34" ht="15.75" customHeight="1" x14ac:dyDescent="0.25">
      <c r="D4" s="3"/>
      <c r="E4" s="62" t="s">
        <v>42</v>
      </c>
      <c r="F4" s="62"/>
      <c r="H4" s="32"/>
      <c r="I4" s="32"/>
      <c r="J4" s="32"/>
      <c r="K4" s="32"/>
      <c r="M4" s="18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9" t="s">
        <v>37</v>
      </c>
      <c r="F5" s="59"/>
      <c r="L5" s="1"/>
      <c r="M5" s="18"/>
      <c r="U5" s="20" t="s">
        <v>9</v>
      </c>
      <c r="V5" s="21" t="s">
        <v>0</v>
      </c>
      <c r="W5" s="21" t="s">
        <v>7</v>
      </c>
      <c r="X5" s="21" t="s">
        <v>8</v>
      </c>
      <c r="Y5" s="21" t="s">
        <v>10</v>
      </c>
      <c r="Z5" s="22" t="s">
        <v>1</v>
      </c>
      <c r="AB5" s="45" t="s">
        <v>30</v>
      </c>
      <c r="AC5" s="47" t="s">
        <v>31</v>
      </c>
      <c r="AD5" s="46" t="s">
        <v>32</v>
      </c>
      <c r="AE5" s="46" t="s">
        <v>33</v>
      </c>
      <c r="AF5" s="46" t="s">
        <v>34</v>
      </c>
    </row>
    <row r="6" spans="2:34" ht="15.75" x14ac:dyDescent="0.25">
      <c r="B6" s="12"/>
      <c r="C6" s="12"/>
      <c r="O6"/>
      <c r="P6"/>
      <c r="Q6"/>
      <c r="R6"/>
      <c r="S6"/>
      <c r="T6"/>
      <c r="U6" s="27">
        <v>7</v>
      </c>
      <c r="V6" s="28">
        <v>10</v>
      </c>
      <c r="W6" s="28">
        <v>110</v>
      </c>
      <c r="X6" s="28">
        <v>135</v>
      </c>
      <c r="Y6" s="28">
        <v>135</v>
      </c>
      <c r="Z6" s="29">
        <f>1.9*1.1</f>
        <v>2.09</v>
      </c>
      <c r="AB6" s="42" t="s">
        <v>35</v>
      </c>
      <c r="AC6" s="44">
        <v>140</v>
      </c>
      <c r="AD6" s="44">
        <v>295</v>
      </c>
      <c r="AE6" s="44">
        <v>150</v>
      </c>
      <c r="AF6" s="44">
        <v>270</v>
      </c>
      <c r="AG6" s="1"/>
      <c r="AH6" s="1"/>
    </row>
    <row r="7" spans="2:34" ht="15.75" x14ac:dyDescent="0.25">
      <c r="B7" s="12"/>
      <c r="C7" s="12"/>
      <c r="L7" s="16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 t="s">
        <v>29</v>
      </c>
      <c r="AH7" s="1"/>
    </row>
    <row r="8" spans="2:34" ht="20.25" customHeight="1" x14ac:dyDescent="0.25">
      <c r="B8" s="13"/>
      <c r="C8" s="13"/>
      <c r="L8" s="18"/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8"/>
      <c r="M9" s="16"/>
    </row>
    <row r="10" spans="2:34" s="16" customFormat="1" ht="29.25" x14ac:dyDescent="0.25">
      <c r="B10" s="51">
        <v>1</v>
      </c>
      <c r="C10" s="52" t="s">
        <v>38</v>
      </c>
      <c r="D10" s="53">
        <v>1</v>
      </c>
      <c r="E10" s="54">
        <v>1570</v>
      </c>
      <c r="F10" s="55">
        <f>OrcamentTbl[VALOR UNT.]*OrcamentTbl[QTDE]</f>
        <v>1570</v>
      </c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57.75" x14ac:dyDescent="0.25">
      <c r="B11" s="51">
        <v>2</v>
      </c>
      <c r="C11" s="52" t="s">
        <v>40</v>
      </c>
      <c r="D11" s="53">
        <v>1</v>
      </c>
      <c r="E11" s="54">
        <v>2792.087158203125</v>
      </c>
      <c r="F11" s="55">
        <f>OrcamentTbl[VALOR UNT.]*OrcamentTbl[QTDE]</f>
        <v>2792.087158203125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57.75" x14ac:dyDescent="0.25">
      <c r="B12" s="51">
        <v>3</v>
      </c>
      <c r="C12" s="52" t="s">
        <v>40</v>
      </c>
      <c r="D12" s="53">
        <v>1</v>
      </c>
      <c r="E12" s="54">
        <v>2850.259765625</v>
      </c>
      <c r="F12" s="55">
        <f>OrcamentTbl[VALOR UNT.]*OrcamentTbl[QTDE]</f>
        <v>2850.259765625</v>
      </c>
      <c r="L12" s="57">
        <f ca="1">(OrcamentTbl[[#This Row],[VALOR UNT.]]-OFFSET(OrcamentTbl[[#This Row],[VALOR UNT.]],-1,0))/OFFSET(OrcamentTbl[[#This Row],[VALOR UNT.]],-1,0)</f>
        <v>2.0834810708170209E-2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ht="57.75" x14ac:dyDescent="0.25">
      <c r="B13" s="51">
        <v>4</v>
      </c>
      <c r="C13" s="52" t="s">
        <v>40</v>
      </c>
      <c r="D13" s="53">
        <v>1</v>
      </c>
      <c r="E13" s="54">
        <v>2910.894775390625</v>
      </c>
      <c r="F13" s="55">
        <f>OrcamentTbl[VALOR UNT.]*OrcamentTbl[QTDE]</f>
        <v>2910.894775390625</v>
      </c>
      <c r="L13" s="57">
        <f ca="1">(OrcamentTbl[[#This Row],[VALOR UNT.]]-OFFSET(OrcamentTbl[[#This Row],[VALOR UNT.]],-1,0))/OFFSET(OrcamentTbl[[#This Row],[VALOR UNT.]],-1,0)</f>
        <v>2.1273503031864559E-2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ht="57.75" x14ac:dyDescent="0.25">
      <c r="B14" s="51">
        <v>5</v>
      </c>
      <c r="C14" s="52" t="s">
        <v>40</v>
      </c>
      <c r="D14" s="53">
        <v>1</v>
      </c>
      <c r="E14" s="54">
        <v>2974.18408203125</v>
      </c>
      <c r="F14" s="55">
        <f>OrcamentTbl[VALOR UNT.]*OrcamentTbl[QTDE]</f>
        <v>2974.18408203125</v>
      </c>
      <c r="L14" s="57">
        <f ca="1">(OrcamentTbl[[#This Row],[VALOR UNT.]]-OFFSET(OrcamentTbl[[#This Row],[VALOR UNT.]],-1,0))/OFFSET(OrcamentTbl[[#This Row],[VALOR UNT.]],-1,0)</f>
        <v>2.1742217264494539E-2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ht="57.75" x14ac:dyDescent="0.25">
      <c r="B15" s="51">
        <v>6</v>
      </c>
      <c r="C15" s="52" t="s">
        <v>40</v>
      </c>
      <c r="D15" s="53">
        <v>1</v>
      </c>
      <c r="E15" s="54">
        <v>3040.26416015625</v>
      </c>
      <c r="F15" s="55">
        <f>OrcamentTbl[VALOR UNT.]*OrcamentTbl[QTDE]</f>
        <v>3040.26416015625</v>
      </c>
      <c r="L15" s="57">
        <f ca="1">(OrcamentTbl[[#This Row],[VALOR UNT.]]-OFFSET(OrcamentTbl[[#This Row],[VALOR UNT.]],-1,0))/OFFSET(OrcamentTbl[[#This Row],[VALOR UNT.]],-1,0)</f>
        <v>2.2217884402054199E-2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ht="57.75" x14ac:dyDescent="0.25">
      <c r="B16" s="51">
        <v>7</v>
      </c>
      <c r="C16" s="52" t="s">
        <v>40</v>
      </c>
      <c r="D16" s="53">
        <v>1</v>
      </c>
      <c r="E16" s="54">
        <v>2736.240478515625</v>
      </c>
      <c r="F16" s="55">
        <f>OrcamentTbl[VALOR UNT.]*OrcamentTbl[QTDE]</f>
        <v>2736.240478515625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ht="57.75" x14ac:dyDescent="0.25">
      <c r="B17" s="51">
        <v>8</v>
      </c>
      <c r="C17" s="52" t="s">
        <v>40</v>
      </c>
      <c r="D17" s="53">
        <v>1</v>
      </c>
      <c r="E17" s="54">
        <v>2792.087158203125</v>
      </c>
      <c r="F17" s="55">
        <f>OrcamentTbl[VALOR UNT.]*OrcamentTbl[QTDE]</f>
        <v>2792.087158203125</v>
      </c>
      <c r="I17" s="57">
        <f>(OrcamentTbl[[#This Row],[SUB TOTAL]]-$F$16)/$F$16</f>
        <v>2.0410004210520305E-2</v>
      </c>
      <c r="J17" s="18">
        <f>OrcamentTbl[[#This Row],[SUB TOTAL]]*0.02</f>
        <v>55.8417431640625</v>
      </c>
      <c r="K17" s="65">
        <f>OrcamentTbl[[#This Row],[SUB TOTAL]]-J17</f>
        <v>2736.2454150390627</v>
      </c>
      <c r="L17" s="64">
        <f>(OrcamentTbl[[#This Row],[SUB TOTAL]]-$F$16)/OrcamentTbl[[#This Row],[SUB TOTAL]]</f>
        <v>2.0001768040593931E-2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57.75" x14ac:dyDescent="0.25">
      <c r="B18" s="51">
        <v>9</v>
      </c>
      <c r="C18" s="52" t="s">
        <v>40</v>
      </c>
      <c r="D18" s="53">
        <v>1</v>
      </c>
      <c r="E18" s="54">
        <v>2850.259765625</v>
      </c>
      <c r="F18" s="55">
        <f>OrcamentTbl[VALOR UNT.]*OrcamentTbl[QTDE]</f>
        <v>2850.259765625</v>
      </c>
      <c r="I18" s="57">
        <f>(OrcamentTbl[[#This Row],[SUB TOTAL]]-$F$16)/$F$16</f>
        <v>4.1670053492969664E-2</v>
      </c>
      <c r="J18" s="18">
        <f>OrcamentTbl[[#This Row],[SUB TOTAL]]*0.04</f>
        <v>114.010390625</v>
      </c>
      <c r="K18" s="65">
        <f>OrcamentTbl[[#This Row],[SUB TOTAL]]-J18</f>
        <v>2736.2493749999999</v>
      </c>
      <c r="L18" s="64">
        <f>(OrcamentTbl[[#This Row],[SUB TOTAL]]-$F$16)/OrcamentTbl[[#This Row],[SUB TOTAL]]</f>
        <v>4.0003121288972425E-2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57.75" x14ac:dyDescent="0.25">
      <c r="B19" s="51">
        <v>10</v>
      </c>
      <c r="C19" s="52" t="s">
        <v>40</v>
      </c>
      <c r="D19" s="53">
        <v>1</v>
      </c>
      <c r="E19" s="54">
        <v>2910.894775390625</v>
      </c>
      <c r="F19" s="55">
        <f>OrcamentTbl[VALOR UNT.]*OrcamentTbl[QTDE]</f>
        <v>2910.894775390625</v>
      </c>
      <c r="I19" s="57">
        <f>(OrcamentTbl[[#This Row],[SUB TOTAL]]-$F$16)/$F$16</f>
        <v>6.3830024534154872E-2</v>
      </c>
      <c r="J19" s="18">
        <f>OrcamentTbl[[#This Row],[SUB TOTAL]]*0.06</f>
        <v>174.6536865234375</v>
      </c>
      <c r="K19" s="65">
        <f>OrcamentTbl[[#This Row],[SUB TOTAL]]-J19</f>
        <v>2736.2410888671875</v>
      </c>
      <c r="L19" s="64">
        <f>(OrcamentTbl[[#This Row],[SUB TOTAL]]-$F$16)/OrcamentTbl[[#This Row],[SUB TOTAL]]</f>
        <v>6.0000209678332472E-2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57.75" x14ac:dyDescent="0.25">
      <c r="B20" s="51">
        <v>11</v>
      </c>
      <c r="C20" s="52" t="s">
        <v>40</v>
      </c>
      <c r="D20" s="53">
        <v>1</v>
      </c>
      <c r="E20" s="54">
        <v>2974.18408203125</v>
      </c>
      <c r="F20" s="55">
        <f>OrcamentTbl[VALOR UNT.]*OrcamentTbl[QTDE]</f>
        <v>2974.18408203125</v>
      </c>
      <c r="I20" s="57">
        <f>(OrcamentTbl[[#This Row],[SUB TOTAL]]-$F$16)/$F$16</f>
        <v>8.6960048060069017E-2</v>
      </c>
      <c r="J20" s="18">
        <f>OrcamentTbl[[#This Row],[SUB TOTAL]]*0.08</f>
        <v>237.9347265625</v>
      </c>
      <c r="K20" s="65">
        <f>OrcamentTbl[[#This Row],[SUB TOTAL]]-J20</f>
        <v>2736.2493554687499</v>
      </c>
      <c r="L20" s="64">
        <f>(OrcamentTbl[[#This Row],[SUB TOTAL]]-$F$16)/OrcamentTbl[[#This Row],[SUB TOTAL]]</f>
        <v>8.0002984668359506E-2</v>
      </c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57.75" x14ac:dyDescent="0.25">
      <c r="B21" s="51">
        <v>12</v>
      </c>
      <c r="C21" s="52" t="s">
        <v>40</v>
      </c>
      <c r="D21" s="53">
        <v>1</v>
      </c>
      <c r="E21" s="54">
        <v>3040.26416015625</v>
      </c>
      <c r="F21" s="55">
        <f>OrcamentTbl[VALOR UNT.]*OrcamentTbl[QTDE]</f>
        <v>3040.26416015625</v>
      </c>
      <c r="I21" s="57">
        <f>(OrcamentTbl[[#This Row],[SUB TOTAL]]-$F$16)/$F$16</f>
        <v>0.11111000075751891</v>
      </c>
      <c r="J21" s="18">
        <f>OrcamentTbl[[#This Row],[SUB TOTAL]]*0.1</f>
        <v>304.02641601562499</v>
      </c>
      <c r="K21" s="65">
        <f>OrcamentTbl[[#This Row],[SUB TOTAL]]-J21</f>
        <v>2736.2377441406252</v>
      </c>
      <c r="L21" s="64">
        <f>(OrcamentTbl[[#This Row],[SUB TOTAL]]-$F$16)/OrcamentTbl[[#This Row],[SUB TOTAL]]</f>
        <v>9.9999100612691544E-2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56"/>
      <c r="C22" s="50" t="s">
        <v>17</v>
      </c>
      <c r="D22" s="48"/>
      <c r="E22" s="49"/>
      <c r="F22" s="63">
        <f>SUBTOTAL(109,OrcamentTbl[SUB TOTAL])</f>
        <v>33441.620361328125</v>
      </c>
      <c r="L22" s="30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60"/>
      <c r="C23" s="61"/>
      <c r="D23" s="61"/>
      <c r="E23" s="61"/>
      <c r="F23" s="61"/>
      <c r="L23" s="1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0" customFormat="1" ht="35.1" customHeight="1" x14ac:dyDescent="0.25">
      <c r="B24" s="58"/>
      <c r="C24" s="58"/>
      <c r="D24" s="58"/>
      <c r="E24" s="58"/>
      <c r="F24" s="58"/>
      <c r="L24" s="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7" spans="2:34" x14ac:dyDescent="0.25">
      <c r="F27" s="40"/>
    </row>
  </sheetData>
  <mergeCells count="5">
    <mergeCell ref="B24:F24"/>
    <mergeCell ref="E5:F5"/>
    <mergeCell ref="B23:F23"/>
    <mergeCell ref="E3:F3"/>
    <mergeCell ref="E4:F4"/>
  </mergeCells>
  <dataValidations count="1">
    <dataValidation type="whole" allowBlank="1" showInputMessage="1" showErrorMessage="1" errorTitle="Número inválido" error="Por favor, insira um número entre 1 e 5" sqref="K3">
      <formula1>1</formula1>
      <formula2>5</formula2>
    </dataValidation>
  </dataValidations>
  <hyperlinks>
    <hyperlink ref="AC5" r:id="rId1"/>
    <hyperlink ref="AD5" r:id="rId2"/>
    <hyperlink ref="AE5" r:id="rId3"/>
    <hyperlink ref="AF5" r:id="rId4"/>
  </hyperlinks>
  <printOptions horizontalCentered="1"/>
  <pageMargins left="0.15748031496062992" right="0.15748031496062992" top="0.51181102362204722" bottom="0" header="0" footer="0"/>
  <pageSetup paperSize="9" scale="87" fitToHeight="0" orientation="portrait" r:id="rId5"/>
  <headerFooter scaleWithDoc="0">
    <oddHeader>&amp;L&amp;G</oddHeader>
    <oddFooter xml:space="preserve">&amp;CRua da Tiriva, 111 - Colombo/PR
41 3663-2544 / 41 99236-6192 / 41 99194-6985
moveisacquamob@gmail.com
</oddFooter>
  </headerFooter>
  <drawing r:id="rId6"/>
  <legacyDrawingHF r:id="rId7"/>
  <tableParts count="6"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showGridLines="0" workbookViewId="0">
      <selection activeCell="B2" sqref="B2"/>
    </sheetView>
  </sheetViews>
  <sheetFormatPr defaultRowHeight="15" x14ac:dyDescent="0.25"/>
  <cols>
    <col min="2" max="2" width="17.4257812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ORÇAMENTO</vt:lpstr>
      <vt:lpstr>Cadastro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2025-11-03T16:18:50Z</cp:lastPrinted>
  <dcterms:created xsi:type="dcterms:W3CDTF">2024-06-20T11:26:17Z</dcterms:created>
  <dcterms:modified xsi:type="dcterms:W3CDTF">2025-11-07T19:36:18Z</dcterms:modified>
</cp:coreProperties>
</file>