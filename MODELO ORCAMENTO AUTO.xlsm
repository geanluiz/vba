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state="veryHidden" r:id="rId2"/>
  </sheets>
  <functionGroups builtInGroupCount="18"/>
  <definedNames>
    <definedName name="ainf">#REF!</definedName>
    <definedName name="_xlnm.Print_Area" localSheetId="0">ORÇAMENTO!$B$1:$F$22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7" l="1"/>
  <c r="C3" i="7"/>
  <c r="F21" i="5"/>
  <c r="J21" i="5" s="1"/>
  <c r="K21" i="5" s="1"/>
  <c r="M20" i="5"/>
  <c r="F20" i="5"/>
  <c r="J20" i="5" s="1"/>
  <c r="K20" i="5" s="1"/>
  <c r="F19" i="5"/>
  <c r="M19" i="5" s="1"/>
  <c r="F18" i="5"/>
  <c r="J18" i="5" s="1"/>
  <c r="K18" i="5" s="1"/>
  <c r="F17" i="5"/>
  <c r="J17" i="5" s="1"/>
  <c r="K17" i="5" s="1"/>
  <c r="F16" i="5"/>
  <c r="L20" i="5" s="1"/>
  <c r="L15" i="5"/>
  <c r="F15" i="5"/>
  <c r="L14" i="5"/>
  <c r="F14" i="5"/>
  <c r="L13" i="5"/>
  <c r="F13" i="5"/>
  <c r="L12" i="5"/>
  <c r="F12" i="5"/>
  <c r="F11" i="5"/>
  <c r="F10" i="5"/>
  <c r="F22" i="5" l="1"/>
  <c r="J19" i="5"/>
  <c r="K19" i="5" s="1"/>
  <c r="N20" i="5"/>
  <c r="I20" i="5"/>
  <c r="L17" i="5"/>
  <c r="L21" i="5"/>
  <c r="I17" i="5"/>
  <c r="M17" i="5"/>
  <c r="N17" i="5" s="1"/>
  <c r="L18" i="5"/>
  <c r="I21" i="5"/>
  <c r="M21" i="5"/>
  <c r="N21" i="5" s="1"/>
  <c r="I18" i="5"/>
  <c r="M18" i="5"/>
  <c r="N18" i="5" s="1"/>
  <c r="O18" i="5" s="1"/>
  <c r="P18" i="5" s="1"/>
  <c r="L19" i="5"/>
  <c r="K16" i="5"/>
  <c r="I19" i="5"/>
  <c r="O17" i="5" l="1"/>
  <c r="P17" i="5" s="1"/>
  <c r="N19" i="5"/>
  <c r="O19" i="5" s="1"/>
  <c r="P19" i="5" s="1"/>
  <c r="O20" i="5"/>
  <c r="P20" i="5" s="1"/>
  <c r="O21" i="5"/>
  <c r="P21" i="5" s="1"/>
</calcChain>
</file>

<file path=xl/sharedStrings.xml><?xml version="1.0" encoding="utf-8"?>
<sst xmlns="http://schemas.openxmlformats.org/spreadsheetml/2006/main" count="52" uniqueCount="42">
  <si>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</si>
  <si>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</si>
  <si>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</si>
  <si>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</si>
  <si>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</si>
  <si>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</si>
  <si>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</si>
  <si>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</si>
  <si>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</si>
  <si>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</si>
  <si>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</si>
  <si>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</si>
  <si>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</si>
  <si>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</si>
  <si>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</si>
  <si>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</si>
  <si>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</si>
  <si>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</si>
  <si>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</si>
  <si>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</si>
  <si>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</si>
  <si>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</si>
  <si>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</si>
  <si>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</si>
  <si>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</si>
  <si>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</si>
  <si>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</si>
  <si>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</si>
  <si>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</si>
  <si>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</si>
  <si>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</si>
  <si>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</si>
  <si>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</si>
  <si>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</si>
  <si>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</si>
  <si>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</si>
  <si>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</si>
  <si>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</si>
  <si>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</si>
  <si>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DATA: 11/11/2025</t>
  </si>
  <si>
    <t>ORÇAMENTO Nº 3092</t>
  </si>
  <si>
    <t xml:space="preserve">CLIENTE: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</si>
</sst>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  <font>
      <sz val="11"/>
      <color theme="1"/>
      <name val="Arial"/>
    </font>
    <font>
      <b/>
      <sz val="11"/>
      <name val="Arial"/>
    </font>
    <font>
      <b/>
      <sz val="11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9" xfId="2" applyFont="1" applyFill="1" applyBorder="1" applyAlignment="1" applyProtection="1">
      <alignment horizontal="center"/>
    </xf>
    <xf numFmtId="0" fontId="14" fillId="0" borderId="10" xfId="2" applyFont="1" applyFill="1" applyBorder="1" applyAlignment="1" applyProtection="1">
      <alignment horizontal="center"/>
    </xf>
    <xf numFmtId="0" fontId="14" fillId="0" borderId="8" xfId="2" applyFont="1" applyFill="1" applyBorder="1" applyAlignment="1" applyProtection="1">
      <alignment horizontal="center"/>
    </xf>
    <xf numFmtId="0" fontId="19" fillId="0" borderId="2" xfId="0" applyNumberFormat="1" applyFont="1" applyFill="1" applyBorder="1" applyAlignment="1" applyProtection="1">
      <alignment horizontal="center" vertical="center"/>
    </xf>
    <xf numFmtId="0" fontId="20" fillId="0" borderId="13" xfId="0" applyNumberFormat="1" applyFont="1" applyFill="1" applyBorder="1" applyAlignment="1" applyProtection="1">
      <alignment horizontal="center" vertical="center" wrapText="1"/>
    </xf>
    <xf numFmtId="0" fontId="21" fillId="0" borderId="13" xfId="0" applyNumberFormat="1" applyFont="1" applyFill="1" applyBorder="1" applyAlignment="1" applyProtection="1">
      <alignment horizontal="center" vertical="center"/>
    </xf>
    <xf numFmtId="44" fontId="21" fillId="0" borderId="12" xfId="0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 applyProtection="1">
      <alignment horizontal="left" vertical="top"/>
    </xf>
    <xf numFmtId="0" fontId="8" fillId="0" borderId="0" xfId="2" applyFont="1" applyBorder="1" applyAlignment="1">
      <alignment horizontal="center" wrapText="1"/>
    </xf>
    <xf numFmtId="0" fontId="11" fillId="0" borderId="6" xfId="2" applyFont="1" applyBorder="1" applyAlignment="1">
      <alignment horizontal="center" wrapText="1"/>
    </xf>
    <xf numFmtId="0" fontId="10" fillId="0" borderId="0" xfId="2" applyFont="1" applyAlignment="1" applyProtection="1">
      <alignment horizontal="left" vertical="top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31753</xdr:colOff>
      <xdr:row>1</xdr:row>
      <xdr:rowOff>12700</xdr:rowOff>
    </xdr:from>
    <xdr:to>
      <xdr:col>9</xdr:col>
      <xdr:colOff>898529</xdr:colOff>
      <xdr:row>9</xdr:row>
      <xdr:rowOff>219075</xdr:rowOff>
    </xdr:to>
    <xdr:grpSp>
      <xdr:nvGrpSpPr>
        <xdr:cNvPr id="6" name="grupoBtns"/>
        <xdr:cNvGrpSpPr/>
      </xdr:nvGrpSpPr>
      <xdr:grpSpPr>
        <a:xfrm>
          <a:off x="8128003" y="203200"/>
          <a:ext cx="2867026" cy="1854200"/>
          <a:chOff x="8128000" y="317500"/>
          <a:chExt cx="2733675" cy="2158679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2158679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9574532" y="179187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9578376" y="1097778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61490" y="410836"/>
            <a:ext cx="1160343" cy="543600"/>
          </a:xfrm>
          <a:prstGeom prst="rect">
            <a:avLst/>
          </a:prstGeom>
          <a:effectLst>
            <a:outerShdw blurRad="57150" dist="19050" dir="5400000" algn="tl" rotWithShape="0">
              <a:prstClr val="black">
                <a:alpha val="63000"/>
              </a:prstClr>
            </a:outerShdw>
          </a:effectLst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2265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22" totalsRowCount="1" headerRowDxfId="57" dataDxfId="56" totalsRowDxfId="11" tableBorderDxfId="55" totalsRowBorderDxfId="54">
  <autoFilter ref="B9:F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1" totalsRowDxfId="16" dataCellStyle="Normal 2"/>
    <tableColumn id="2" name="DESCRIÇÃO" totalsRowLabel="TOTAL" dataDxfId="20" totalsRowDxfId="15" dataCellStyle="Normal 2"/>
    <tableColumn id="3" name="QTDE" dataDxfId="19" totalsRowDxfId="14" dataCellStyle="Normal 2"/>
    <tableColumn id="4" name="VALOR UNT." dataDxfId="18" totalsRowDxfId="13" dataCellStyle="Moeda 2"/>
    <tableColumn id="5" name="SUB TOTAL" totalsRowFunction="custom" dataDxfId="17" totalsRowDxfId="1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B2:G3" totalsRowShown="0" headerRowDxfId="53" dataDxfId="4" tableBorderDxfId="52">
  <autoFilter ref="B2:G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B5:G6" totalsRowShown="0" headerRowDxfId="10" dataDxfId="51" tableBorderDxfId="50" dataCellStyle="Moeda">
  <autoFilter ref="B5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49" dataCellStyle="Moeda"/>
    <tableColumn id="2" name="PUXADOR" dataDxfId="48" dataCellStyle="Moeda"/>
    <tableColumn id="3" name="TINTA m²" dataDxfId="47" dataCellStyle="Moeda"/>
    <tableColumn id="4" name="ESPELHO m²" dataDxfId="46" dataCellStyle="Moeda"/>
    <tableColumn id="5" name="CORREDIÇA" dataDxfId="45" dataCellStyle="Moeda"/>
    <tableColumn id="6" name="PÉ" dataDxfId="44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B8:E9" totalsRowShown="0" headerRowDxfId="9" dataDxfId="42" headerRowBorderDxfId="43" tableBorderDxfId="41" totalsRowBorderDxfId="40" headerRowCellStyle="Normal 2">
  <autoFilter ref="B8:E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9" dataCellStyle="Normal 2"/>
    <tableColumn id="2" name="DATA" dataDxfId="38" dataCellStyle="Normal 2"/>
    <tableColumn id="3" name="Nº" dataDxfId="37" dataCellStyle="Normal 2"/>
    <tableColumn id="4" name="TABELA" dataDxfId="3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I2:M3" totalsRowShown="0" headerRowDxfId="35" dataDxfId="34" tableBorderDxfId="33" dataCellStyle="Moeda">
  <autoFilter ref="I2:M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32" dataCellStyle="Moeda"/>
    <tableColumn id="4" name="Cinza Andorinha" dataDxfId="31" dataCellStyle="Moeda"/>
    <tableColumn id="5" name="Branco Itaúnas" dataDxfId="3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I5:M6" totalsRowShown="0" headerRowDxfId="29" dataDxfId="28" tableBorderDxfId="27" dataCellStyle="Moeda">
  <autoFilter ref="I5:M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26" dataCellStyle="Moeda"/>
    <tableColumn id="2" name="Redonda branca" dataDxfId="25" dataCellStyle="Moeda"/>
    <tableColumn id="3" name="Redonda Slim" dataDxfId="24" dataCellStyle="Moeda"/>
    <tableColumn id="4" name="Retangular" dataDxfId="23" dataCellStyle="Moeda"/>
    <tableColumn id="5" name="Retangular Slim" dataDxfId="2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7"/>
  <sheetViews>
    <sheetView showGridLines="0" tabSelected="1" zoomScaleNormal="100" workbookViewId="0">
      <selection activeCell="I11" sqref="I1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</row>
    <row r="3" spans="2:34" ht="15.75" customHeight="1" x14ac:dyDescent="0.25">
      <c r="B3" s="14"/>
      <c r="C3" s="14"/>
      <c r="D3" s="14"/>
      <c r="E3" s="65" t="s">
        <v>41</v>
      </c>
      <c r="F3" s="65"/>
    </row>
    <row r="4" spans="2:34" ht="15.75" customHeight="1" x14ac:dyDescent="0.25">
      <c r="D4" s="3"/>
      <c r="E4" s="65" t="s">
        <v>39</v>
      </c>
      <c r="F4" s="65"/>
      <c r="H4" s="29"/>
      <c r="I4" s="29"/>
      <c r="J4" s="29"/>
      <c r="K4" s="29"/>
      <c r="M4" s="18"/>
      <c r="AG4" s="1"/>
      <c r="AH4" s="1"/>
    </row>
    <row r="5" spans="2:34" s="5" customFormat="1" ht="15.75" x14ac:dyDescent="0.25">
      <c r="B5" s="4" t="s">
        <v>11</v>
      </c>
      <c r="E5" s="62" t="s">
        <v>40</v>
      </c>
      <c r="F5" s="62"/>
      <c r="L5" s="1"/>
      <c r="M5" s="18"/>
    </row>
    <row r="6" spans="2:34" ht="15.75" x14ac:dyDescent="0.25">
      <c r="B6" s="12"/>
      <c r="C6" s="12"/>
      <c r="O6"/>
      <c r="P6"/>
      <c r="Q6"/>
      <c r="R6"/>
      <c r="S6"/>
      <c r="T6"/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42">
        <v>1</v>
      </c>
      <c r="C10" s="43" t="s">
        <v>36</v>
      </c>
      <c r="D10" s="44">
        <v>1</v>
      </c>
      <c r="E10" s="45">
        <v>1570</v>
      </c>
      <c r="F10" s="46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42">
        <v>2</v>
      </c>
      <c r="C11" s="43" t="s">
        <v>38</v>
      </c>
      <c r="D11" s="44">
        <v>1</v>
      </c>
      <c r="E11" s="45">
        <v>2792.087158203125</v>
      </c>
      <c r="F11" s="46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42">
        <v>3</v>
      </c>
      <c r="C12" s="43" t="s">
        <v>38</v>
      </c>
      <c r="D12" s="44">
        <v>1</v>
      </c>
      <c r="E12" s="45">
        <v>2850.259765625</v>
      </c>
      <c r="F12" s="46">
        <f>OrcamentTbl[VALOR UNT.]*OrcamentTbl[QTDE]</f>
        <v>2850.259765625</v>
      </c>
      <c r="L12" s="47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42">
        <v>4</v>
      </c>
      <c r="C13" s="43" t="s">
        <v>38</v>
      </c>
      <c r="D13" s="44">
        <v>1</v>
      </c>
      <c r="E13" s="45">
        <v>2910.894775390625</v>
      </c>
      <c r="F13" s="46">
        <f>OrcamentTbl[VALOR UNT.]*OrcamentTbl[QTDE]</f>
        <v>2910.894775390625</v>
      </c>
      <c r="L13" s="47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42">
        <v>5</v>
      </c>
      <c r="C14" s="43" t="s">
        <v>38</v>
      </c>
      <c r="D14" s="44">
        <v>1</v>
      </c>
      <c r="E14" s="45">
        <v>2974.18408203125</v>
      </c>
      <c r="F14" s="46">
        <f>OrcamentTbl[VALOR UNT.]*OrcamentTbl[QTDE]</f>
        <v>2974.18408203125</v>
      </c>
      <c r="L14" s="47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42">
        <v>6</v>
      </c>
      <c r="C15" s="43" t="s">
        <v>38</v>
      </c>
      <c r="D15" s="44">
        <v>1</v>
      </c>
      <c r="E15" s="45">
        <v>3040.26416015625</v>
      </c>
      <c r="F15" s="46">
        <f>OrcamentTbl[VALOR UNT.]*OrcamentTbl[QTDE]</f>
        <v>3040.26416015625</v>
      </c>
      <c r="L15" s="47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42">
        <v>7</v>
      </c>
      <c r="C16" s="43" t="s">
        <v>38</v>
      </c>
      <c r="D16" s="44">
        <v>1</v>
      </c>
      <c r="E16" s="45">
        <v>2736.240478515625</v>
      </c>
      <c r="F16" s="46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42">
        <v>8</v>
      </c>
      <c r="C17" s="43" t="s">
        <v>38</v>
      </c>
      <c r="D17" s="44">
        <v>1</v>
      </c>
      <c r="E17" s="45">
        <v>2792.087158203125</v>
      </c>
      <c r="F17" s="46">
        <f>OrcamentTbl[VALOR UNT.]*OrcamentTbl[QTDE]</f>
        <v>2792.087158203125</v>
      </c>
      <c r="I17" s="47">
        <f>(OrcamentTbl[[#This Row],[SUB TOTAL]]-$F$16)/$F$16</f>
        <v>2.0410004210520305E-2</v>
      </c>
      <c r="J17" s="18">
        <f>OrcamentTbl[[#This Row],[SUB TOTAL]]*0.02</f>
        <v>55.8417431640625</v>
      </c>
      <c r="K17" s="50">
        <f>OrcamentTbl[[#This Row],[SUB TOTAL]]-J17</f>
        <v>2736.2454150390627</v>
      </c>
      <c r="L17" s="49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47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42">
        <v>9</v>
      </c>
      <c r="C18" s="43" t="s">
        <v>38</v>
      </c>
      <c r="D18" s="44">
        <v>1</v>
      </c>
      <c r="E18" s="45">
        <v>2850.259765625</v>
      </c>
      <c r="F18" s="46">
        <f>OrcamentTbl[VALOR UNT.]*OrcamentTbl[QTDE]</f>
        <v>2850.259765625</v>
      </c>
      <c r="I18" s="47">
        <f>(OrcamentTbl[[#This Row],[SUB TOTAL]]-$F$16)/$F$16</f>
        <v>4.1670053492969664E-2</v>
      </c>
      <c r="J18" s="18">
        <f>OrcamentTbl[[#This Row],[SUB TOTAL]]*0.04</f>
        <v>114.010390625</v>
      </c>
      <c r="K18" s="50">
        <f>OrcamentTbl[[#This Row],[SUB TOTAL]]-J18</f>
        <v>2736.2493749999999</v>
      </c>
      <c r="L18" s="49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>M18-J18</f>
        <v>2425.5710605468748</v>
      </c>
      <c r="O18" s="18">
        <f>N18-$K$16</f>
        <v>-12.419205810547282</v>
      </c>
      <c r="P18" s="47">
        <f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42">
        <v>10</v>
      </c>
      <c r="C19" s="43" t="s">
        <v>38</v>
      </c>
      <c r="D19" s="44">
        <v>1</v>
      </c>
      <c r="E19" s="45">
        <v>2910.894775390625</v>
      </c>
      <c r="F19" s="46">
        <f>OrcamentTbl[VALOR UNT.]*OrcamentTbl[QTDE]</f>
        <v>2910.894775390625</v>
      </c>
      <c r="I19" s="47">
        <f>(OrcamentTbl[[#This Row],[SUB TOTAL]]-$F$16)/$F$16</f>
        <v>6.3830024534154872E-2</v>
      </c>
      <c r="J19" s="18">
        <f>OrcamentTbl[[#This Row],[SUB TOTAL]]*0.06</f>
        <v>174.6536865234375</v>
      </c>
      <c r="K19" s="50">
        <f>OrcamentTbl[[#This Row],[SUB TOTAL]]-J19</f>
        <v>2736.2410888671875</v>
      </c>
      <c r="L19" s="49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>M19-J19</f>
        <v>2418.9535583496095</v>
      </c>
      <c r="O19" s="18">
        <f>N19-$K$16</f>
        <v>-19.036708007812649</v>
      </c>
      <c r="P19" s="47">
        <f>O19/$K$16</f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42">
        <v>11</v>
      </c>
      <c r="C20" s="43" t="s">
        <v>38</v>
      </c>
      <c r="D20" s="44">
        <v>1</v>
      </c>
      <c r="E20" s="45">
        <v>2974.18408203125</v>
      </c>
      <c r="F20" s="46">
        <f>OrcamentTbl[VALOR UNT.]*OrcamentTbl[QTDE]</f>
        <v>2974.18408203125</v>
      </c>
      <c r="I20" s="47">
        <f>(OrcamentTbl[[#This Row],[SUB TOTAL]]-$F$16)/$F$16</f>
        <v>8.6960048060069017E-2</v>
      </c>
      <c r="J20" s="18">
        <f>OrcamentTbl[[#This Row],[SUB TOTAL]]*0.08</f>
        <v>237.9347265625</v>
      </c>
      <c r="K20" s="50">
        <f>OrcamentTbl[[#This Row],[SUB TOTAL]]-J20</f>
        <v>2736.2493554687499</v>
      </c>
      <c r="L20" s="49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>M20-J20</f>
        <v>2412.0632905273437</v>
      </c>
      <c r="O20" s="18">
        <f>N20-$K$16</f>
        <v>-25.926975830078391</v>
      </c>
      <c r="P20" s="47">
        <f>O20/$K$16</f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42">
        <v>12</v>
      </c>
      <c r="C21" s="43" t="s">
        <v>38</v>
      </c>
      <c r="D21" s="44">
        <v>1</v>
      </c>
      <c r="E21" s="45">
        <v>3040.26416015625</v>
      </c>
      <c r="F21" s="46">
        <f>OrcamentTbl[VALOR UNT.]*OrcamentTbl[QTDE]</f>
        <v>3040.26416015625</v>
      </c>
      <c r="I21" s="47">
        <f>(OrcamentTbl[[#This Row],[SUB TOTAL]]-$F$16)/$F$16</f>
        <v>0.11111000075751891</v>
      </c>
      <c r="J21" s="18">
        <f>OrcamentTbl[[#This Row],[SUB TOTAL]]*0.1</f>
        <v>304.02641601562499</v>
      </c>
      <c r="K21" s="50">
        <f>OrcamentTbl[[#This Row],[SUB TOTAL]]-J21</f>
        <v>2736.2377441406252</v>
      </c>
      <c r="L21" s="49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>M21-J21</f>
        <v>2404.848950683594</v>
      </c>
      <c r="O21" s="18">
        <f>N21-$K$16</f>
        <v>-33.141315673828103</v>
      </c>
      <c r="P21" s="47">
        <f>O21/$K$16</f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57"/>
      <c r="C22" s="58" t="s">
        <v>17</v>
      </c>
      <c r="D22" s="59"/>
      <c r="E22" s="60"/>
      <c r="F22" s="48">
        <f>SUBTOTAL(109,OrcamentTbl[SUB TOTAL])</f>
        <v>33441.620361328125</v>
      </c>
      <c r="L22" s="2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3"/>
      <c r="C23" s="63"/>
      <c r="D23" s="63"/>
      <c r="E23" s="64"/>
      <c r="F23" s="63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27" customFormat="1" ht="35.1" customHeight="1" x14ac:dyDescent="0.25">
      <c r="B24" s="61"/>
      <c r="C24" s="61"/>
      <c r="D24" s="61"/>
      <c r="E24" s="61"/>
      <c r="F24" s="61"/>
      <c r="L24" s="1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</row>
    <row r="25" spans="2:34" ht="35.1" customHeight="1" x14ac:dyDescent="0.25"/>
    <row r="26" spans="2:34" ht="35.1" customHeight="1" x14ac:dyDescent="0.25"/>
    <row r="27" spans="2:34" x14ac:dyDescent="0.25">
      <c r="F27" s="34"/>
    </row>
  </sheetData>
  <sheetProtection algorithmName="SHA-512" hashValue="2Iwc1Ha1/vkdI+e5mlzANqYLbUnMfaiLcuos2Z+sfjnHgoqQjSj04V/O4eDRaZWm7wiW8jg2Z7sTAOxTsRvDvg==" saltValue="IyP7abMAQfyBXtfEaMyhiQ==" spinCount="100000" sheet="1" objects="1" scenarios="1"/>
  <mergeCells count="5">
    <mergeCell ref="B24:F24"/>
    <mergeCell ref="E5:F5"/>
    <mergeCell ref="B23:F2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M9"/>
  <sheetViews>
    <sheetView showGridLines="0" workbookViewId="0">
      <selection activeCell="E9" sqref="E9"/>
    </sheetView>
  </sheetViews>
  <sheetFormatPr defaultRowHeight="15" x14ac:dyDescent="0.25"/>
  <cols>
    <col min="2" max="2" width="16.5703125" bestFit="1" customWidth="1"/>
    <col min="3" max="3" width="14.7109375" bestFit="1" customWidth="1"/>
    <col min="4" max="4" width="13.85546875" bestFit="1" customWidth="1"/>
    <col min="5" max="5" width="17.140625" bestFit="1" customWidth="1"/>
    <col min="6" max="6" width="16.42578125" bestFit="1" customWidth="1"/>
    <col min="7" max="7" width="10.5703125" bestFit="1" customWidth="1"/>
    <col min="9" max="9" width="12" bestFit="1" customWidth="1"/>
    <col min="10" max="10" width="15.28515625" bestFit="1" customWidth="1"/>
    <col min="11" max="11" width="15.85546875" bestFit="1" customWidth="1"/>
    <col min="12" max="12" width="14.7109375" bestFit="1" customWidth="1"/>
    <col min="13" max="13" width="15" bestFit="1" customWidth="1"/>
  </cols>
  <sheetData>
    <row r="2" spans="2:13" x14ac:dyDescent="0.25">
      <c r="B2" s="20" t="s">
        <v>18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I2" s="37" t="s">
        <v>23</v>
      </c>
      <c r="J2" s="37" t="s">
        <v>24</v>
      </c>
      <c r="K2" s="37" t="s">
        <v>25</v>
      </c>
      <c r="L2" s="37" t="s">
        <v>26</v>
      </c>
      <c r="M2" s="37" t="s">
        <v>27</v>
      </c>
    </row>
    <row r="3" spans="2:13" x14ac:dyDescent="0.25">
      <c r="B3" s="22" t="s">
        <v>22</v>
      </c>
      <c r="C3" s="35">
        <f>1.22*2.44</f>
        <v>2.9767999999999999</v>
      </c>
      <c r="D3" s="23">
        <v>94.33</v>
      </c>
      <c r="E3" s="23">
        <v>177.82</v>
      </c>
      <c r="F3" s="23">
        <v>283.01</v>
      </c>
      <c r="G3" s="23">
        <v>377.34</v>
      </c>
      <c r="I3" s="36" t="s">
        <v>28</v>
      </c>
      <c r="J3" s="38">
        <v>140</v>
      </c>
      <c r="K3" s="38">
        <v>295</v>
      </c>
      <c r="L3" s="38">
        <v>150</v>
      </c>
      <c r="M3" s="38">
        <v>270</v>
      </c>
    </row>
    <row r="4" spans="2:13" x14ac:dyDescent="0.25">
      <c r="K4" s="1"/>
      <c r="L4" s="1"/>
      <c r="M4" s="1"/>
    </row>
    <row r="5" spans="2:13" x14ac:dyDescent="0.25">
      <c r="B5" s="51" t="s">
        <v>9</v>
      </c>
      <c r="C5" s="52" t="s">
        <v>0</v>
      </c>
      <c r="D5" s="52" t="s">
        <v>7</v>
      </c>
      <c r="E5" s="52" t="s">
        <v>8</v>
      </c>
      <c r="F5" s="52" t="s">
        <v>10</v>
      </c>
      <c r="G5" s="53" t="s">
        <v>1</v>
      </c>
      <c r="H5" s="5"/>
      <c r="I5" s="39" t="s">
        <v>30</v>
      </c>
      <c r="J5" s="41" t="s">
        <v>31</v>
      </c>
      <c r="K5" s="40" t="s">
        <v>32</v>
      </c>
      <c r="L5" s="40" t="s">
        <v>33</v>
      </c>
      <c r="M5" s="40" t="s">
        <v>34</v>
      </c>
    </row>
    <row r="6" spans="2:13" x14ac:dyDescent="0.25">
      <c r="B6" s="24">
        <v>7</v>
      </c>
      <c r="C6" s="25">
        <v>10</v>
      </c>
      <c r="D6" s="25">
        <v>110</v>
      </c>
      <c r="E6" s="25">
        <v>135</v>
      </c>
      <c r="F6" s="25">
        <v>135</v>
      </c>
      <c r="G6" s="26">
        <f>1.9*1.1</f>
        <v>2.09</v>
      </c>
      <c r="I6" s="36" t="s">
        <v>35</v>
      </c>
      <c r="J6" s="38">
        <v>290</v>
      </c>
      <c r="K6" s="38">
        <v>346</v>
      </c>
      <c r="L6" s="38">
        <v>429</v>
      </c>
      <c r="M6" s="38">
        <v>557</v>
      </c>
    </row>
    <row r="7" spans="2:13" x14ac:dyDescent="0.25">
      <c r="H7" s="1"/>
      <c r="I7" s="1"/>
      <c r="J7" s="1"/>
      <c r="K7" s="1"/>
      <c r="L7" s="1"/>
      <c r="M7" s="1"/>
    </row>
    <row r="8" spans="2:13" x14ac:dyDescent="0.25">
      <c r="B8" s="54" t="s">
        <v>19</v>
      </c>
      <c r="C8" s="55" t="s">
        <v>20</v>
      </c>
      <c r="D8" s="55" t="s">
        <v>21</v>
      </c>
      <c r="E8" s="56" t="s">
        <v>37</v>
      </c>
    </row>
    <row r="9" spans="2:13" x14ac:dyDescent="0.25">
      <c r="B9" s="30"/>
      <c r="C9" s="33">
        <v>45972</v>
      </c>
      <c r="D9" s="31">
        <v>3092</v>
      </c>
      <c r="E9" s="32">
        <v>4</v>
      </c>
    </row>
  </sheetData>
  <sheetProtection algorithmName="SHA-512" hashValue="1mcRPTSdZMjCWQKbw5oJhxeDbgBNbiBmAA2sA53Ns1LZr5kNRBvggqPt8Su9bAQF8mUXuQq78GqWqYlu9Gx8QQ==" saltValue="qL24odpSpFOw/mdHtL6caw==" spinCount="100000" sheet="1" objects="1" scenarios="1"/>
  <dataValidations count="1">
    <dataValidation type="whole" allowBlank="1" showInputMessage="1" showErrorMessage="1" errorTitle="Número inválido" error="Por favor, insira um número entre 1 e 5" sqref="E9">
      <formula1>1</formula1>
      <formula2>5</formula2>
    </dataValidation>
  </dataValidations>
  <hyperlinks>
    <hyperlink ref="J5" r:id="rId1"/>
    <hyperlink ref="K5" r:id="rId2"/>
    <hyperlink ref="L5" r:id="rId3"/>
    <hyperlink ref="M5" r:id="rId4"/>
  </hyperlinks>
  <pageMargins left="0.511811024" right="0.511811024" top="0.78740157499999996" bottom="0.78740157499999996" header="0.31496062000000002" footer="0.31496062000000002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2025-11-13T12:28:46Z</cp:lastPrinted>
  <dcterms:created xsi:type="dcterms:W3CDTF">2024-06-20T11:26:17Z</dcterms:created>
  <dcterms:modified xsi:type="dcterms:W3CDTF">2025-11-14T19:11:38Z</dcterms:modified>
</cp:coreProperties>
</file>