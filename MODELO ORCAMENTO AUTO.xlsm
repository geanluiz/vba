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PC TRABALHO\Desktop\Planilha AcquaMob\vba\"/>
    </mc:Choice>
  </mc:AlternateContent>
  <bookViews>
    <workbookView xWindow="0" yWindow="0" windowWidth="28800" windowHeight="12330"/>
  </bookViews>
  <sheets>
    <sheet name="ORÇAMENTO" sheetId="5" r:id="rId1"/>
    <sheet name="Cadastro" sheetId="7" r:id="rId2"/>
  </sheets>
  <functionGroups builtInGroupCount="18"/>
  <definedNames>
    <definedName name="ainf">#REF!</definedName>
    <definedName name="_xlnm.Print_Area" localSheetId="0">ORÇAMENTO!$B$1:$F$11</definedName>
    <definedName name="asup">#REF!</definedName>
    <definedName name="linf">#REF!</definedName>
    <definedName name="lsup">#REF!</definedName>
    <definedName name="pinf">#REF!</definedName>
    <definedName name="psup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5" l="1"/>
  <c r="Z6" i="5" l="1"/>
  <c r="V3" i="5"/>
  <c r="F11" i="5" l="1"/>
</calcChain>
</file>

<file path=xl/sharedStrings.xml><?xml version="1.0" encoding="utf-8"?>
<sst xmlns="http://schemas.openxmlformats.org/spreadsheetml/2006/main" count="45" uniqueCount="45">
  <si>
    <t>PUXADOR</t>
  </si>
  <si>
    <t>PÉ</t>
  </si>
  <si>
    <t>m²</t>
  </si>
  <si>
    <t>5mm</t>
  </si>
  <si>
    <t>10mm</t>
  </si>
  <si>
    <t>15mm</t>
  </si>
  <si>
    <t>20mm</t>
  </si>
  <si>
    <t>TINTA m²</t>
  </si>
  <si>
    <t>ESPELHO m²</t>
  </si>
  <si>
    <t>DOBRADIÇA</t>
  </si>
  <si>
    <t>CORREDIÇA</t>
  </si>
  <si>
    <t xml:space="preserve">                                                                      </t>
  </si>
  <si>
    <t>ITEM</t>
  </si>
  <si>
    <t>DESCRIÇÃO</t>
  </si>
  <si>
    <t>QTDE</t>
  </si>
  <si>
    <t>VALOR UNT.</t>
  </si>
  <si>
    <t>SUB TOTAL</t>
  </si>
  <si>
    <t>TOTAL</t>
  </si>
  <si>
    <t>CUSTOS</t>
  </si>
  <si>
    <t>CLIENTE</t>
  </si>
  <si>
    <t>DATA</t>
  </si>
  <si>
    <t>Nº</t>
  </si>
  <si>
    <t>MARKUP</t>
  </si>
  <si>
    <t>CHAPA</t>
  </si>
  <si>
    <t>Cores granito</t>
  </si>
  <si>
    <t>Verde Labrador</t>
  </si>
  <si>
    <t>Preto São Gabriel</t>
  </si>
  <si>
    <t>Cinza Andorinha</t>
  </si>
  <si>
    <t>Branco Itaúnas</t>
  </si>
  <si>
    <t>Custo m²</t>
  </si>
  <si>
    <t>.</t>
  </si>
  <si>
    <t>Cubas</t>
  </si>
  <si>
    <t>Redonda branca</t>
  </si>
  <si>
    <t>Redonda Slim</t>
  </si>
  <si>
    <t>Retangular</t>
  </si>
  <si>
    <t>Retangular Slim</t>
  </si>
  <si>
    <t>Custo un</t>
  </si>
  <si>
    <t>ACRES.</t>
  </si>
  <si>
    <t>t</t>
  </si>
  <si>
    <t>tabela 5 niveis</t>
  </si>
  <si>
    <t>PRESCILA</t>
  </si>
  <si>
    <t>CLIENTE: PRESCILA</t>
  </si>
  <si>
    <t>DATA: 03/11/2025</t>
  </si>
  <si>
    <t>ORÇAMENTO Nº 3090</t>
  </si>
  <si>
    <r>
      <t xml:space="preserve">BANHEIRO: </t>
    </r>
    <r>
      <rPr>
        <sz val="11"/>
        <rFont val="Arial"/>
        <family val="2"/>
      </rPr>
      <t>Balcão a prova dagua pintado med. 80x70x45cm com 2 portas com moldura e almofada e ferragens em inox.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</si>
</sst>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0.00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000000"/>
      <name val="Arial"/>
      <family val="2"/>
    </font>
    <font>
      <sz val="18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4" tint="0.39997558519241921"/>
      <name val="Calibri"/>
      <family val="2"/>
      <scheme val="minor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64">
    <xf numFmtId="0" fontId="0" fillId="0" borderId="0" xfId="0"/>
    <xf numFmtId="0" fontId="4" fillId="0" borderId="0" xfId="2"/>
    <xf numFmtId="44" fontId="0" fillId="0" borderId="0" xfId="3" applyFont="1" applyFill="1" applyBorder="1"/>
    <xf numFmtId="0" fontId="6" fillId="0" borderId="0" xfId="2" applyFont="1" applyAlignment="1">
      <alignment vertical="center"/>
    </xf>
    <xf numFmtId="0" fontId="2" fillId="0" borderId="0" xfId="2" applyFont="1"/>
    <xf numFmtId="0" fontId="7" fillId="0" borderId="0" xfId="2" applyFont="1"/>
    <xf numFmtId="0" fontId="4" fillId="0" borderId="4" xfId="2" applyBorder="1"/>
    <xf numFmtId="44" fontId="0" fillId="0" borderId="0" xfId="3" applyFont="1"/>
    <xf numFmtId="0" fontId="3" fillId="2" borderId="0" xfId="2" applyFont="1" applyFill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4" fontId="3" fillId="2" borderId="6" xfId="3" applyFont="1" applyFill="1" applyBorder="1" applyAlignment="1">
      <alignment horizontal="center" vertical="center"/>
    </xf>
    <xf numFmtId="0" fontId="10" fillId="0" borderId="0" xfId="2" applyFont="1" applyAlignment="1">
      <alignment vertical="top"/>
    </xf>
    <xf numFmtId="0" fontId="10" fillId="0" borderId="0" xfId="2" applyFont="1" applyBorder="1" applyAlignment="1">
      <alignment vertical="top"/>
    </xf>
    <xf numFmtId="0" fontId="5" fillId="0" borderId="0" xfId="2" applyFont="1" applyAlignment="1">
      <alignment vertical="center"/>
    </xf>
    <xf numFmtId="0" fontId="4" fillId="0" borderId="0" xfId="2" applyProtection="1">
      <protection locked="0"/>
    </xf>
    <xf numFmtId="0" fontId="4" fillId="0" borderId="0" xfId="2" applyFill="1"/>
    <xf numFmtId="0" fontId="0" fillId="0" borderId="0" xfId="0" applyFill="1"/>
    <xf numFmtId="0" fontId="4" fillId="0" borderId="0" xfId="2" applyFill="1" applyProtection="1"/>
    <xf numFmtId="0" fontId="0" fillId="0" borderId="0" xfId="0" applyFill="1" applyProtection="1"/>
    <xf numFmtId="0" fontId="13" fillId="0" borderId="3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2" fillId="0" borderId="0" xfId="0" applyFont="1" applyFill="1" applyAlignment="1">
      <alignment horizontal="right"/>
    </xf>
    <xf numFmtId="0" fontId="13" fillId="0" borderId="0" xfId="0" applyFont="1" applyFill="1" applyAlignment="1">
      <alignment horizontal="right"/>
    </xf>
    <xf numFmtId="0" fontId="13" fillId="0" borderId="0" xfId="0" applyFont="1" applyFill="1" applyBorder="1" applyAlignment="1" applyProtection="1">
      <alignment horizontal="right"/>
    </xf>
    <xf numFmtId="44" fontId="13" fillId="0" borderId="0" xfId="1" applyFont="1" applyFill="1" applyBorder="1" applyProtection="1">
      <protection locked="0"/>
    </xf>
    <xf numFmtId="44" fontId="13" fillId="0" borderId="3" xfId="1" applyFont="1" applyBorder="1" applyAlignment="1" applyProtection="1">
      <alignment horizontal="center" vertical="center"/>
      <protection locked="0"/>
    </xf>
    <xf numFmtId="44" fontId="13" fillId="0" borderId="5" xfId="1" applyFont="1" applyBorder="1" applyAlignment="1" applyProtection="1">
      <alignment horizontal="center" vertical="center"/>
      <protection locked="0"/>
    </xf>
    <xf numFmtId="44" fontId="13" fillId="0" borderId="4" xfId="1" applyFont="1" applyBorder="1" applyAlignment="1" applyProtection="1">
      <alignment horizontal="center" vertical="center"/>
      <protection locked="0"/>
    </xf>
    <xf numFmtId="0" fontId="4" fillId="0" borderId="0" xfId="2" applyProtection="1"/>
    <xf numFmtId="0" fontId="0" fillId="0" borderId="0" xfId="0" applyProtection="1"/>
    <xf numFmtId="0" fontId="7" fillId="0" borderId="0" xfId="2" applyFont="1" applyProtection="1"/>
    <xf numFmtId="0" fontId="14" fillId="0" borderId="9" xfId="2" applyFont="1" applyFill="1" applyBorder="1" applyAlignment="1">
      <alignment horizontal="center"/>
    </xf>
    <xf numFmtId="0" fontId="14" fillId="0" borderId="10" xfId="2" applyFont="1" applyFill="1" applyBorder="1" applyAlignment="1">
      <alignment horizontal="center"/>
    </xf>
    <xf numFmtId="0" fontId="14" fillId="0" borderId="8" xfId="2" applyFont="1" applyFill="1" applyBorder="1" applyAlignment="1">
      <alignment horizontal="center"/>
    </xf>
    <xf numFmtId="0" fontId="4" fillId="0" borderId="1" xfId="2" applyFill="1" applyBorder="1" applyAlignment="1" applyProtection="1">
      <alignment horizontal="left" vertical="center"/>
      <protection locked="0"/>
    </xf>
    <xf numFmtId="0" fontId="4" fillId="0" borderId="11" xfId="2" applyFill="1" applyBorder="1" applyAlignment="1" applyProtection="1">
      <alignment horizontal="center" vertical="center"/>
      <protection locked="0"/>
    </xf>
    <xf numFmtId="1" fontId="4" fillId="0" borderId="7" xfId="2" applyNumberFormat="1" applyFill="1" applyBorder="1" applyAlignment="1" applyProtection="1">
      <alignment horizontal="center" vertical="center"/>
      <protection locked="0"/>
    </xf>
    <xf numFmtId="14" fontId="7" fillId="0" borderId="11" xfId="2" applyNumberFormat="1" applyFont="1" applyFill="1" applyBorder="1" applyAlignment="1" applyProtection="1">
      <alignment horizontal="center" vertical="center"/>
      <protection locked="0"/>
    </xf>
    <xf numFmtId="44" fontId="1" fillId="0" borderId="0" xfId="3" applyFont="1"/>
    <xf numFmtId="0" fontId="13" fillId="0" borderId="0" xfId="0" applyFont="1" applyFill="1" applyBorder="1" applyProtection="1">
      <protection locked="0"/>
    </xf>
    <xf numFmtId="44" fontId="15" fillId="0" borderId="0" xfId="1" applyFont="1" applyFill="1" applyBorder="1" applyAlignment="1" applyProtection="1">
      <alignment horizontal="right"/>
    </xf>
    <xf numFmtId="0" fontId="15" fillId="0" borderId="0" xfId="0" applyFont="1" applyFill="1" applyAlignment="1">
      <alignment horizontal="right"/>
    </xf>
    <xf numFmtId="44" fontId="15" fillId="0" borderId="0" xfId="1" applyFont="1" applyFill="1" applyBorder="1" applyAlignment="1" applyProtection="1">
      <alignment horizontal="center" vertical="center"/>
      <protection locked="0"/>
    </xf>
    <xf numFmtId="164" fontId="0" fillId="0" borderId="7" xfId="4" applyNumberFormat="1" applyFont="1" applyFill="1" applyBorder="1" applyProtection="1">
      <protection locked="0"/>
    </xf>
    <xf numFmtId="0" fontId="13" fillId="0" borderId="0" xfId="0" applyFont="1" applyFill="1" applyAlignment="1" applyProtection="1">
      <alignment horizontal="right"/>
    </xf>
    <xf numFmtId="0" fontId="17" fillId="0" borderId="0" xfId="5" applyFont="1" applyFill="1" applyAlignment="1" applyProtection="1">
      <alignment horizontal="right"/>
    </xf>
    <xf numFmtId="0" fontId="16" fillId="0" borderId="0" xfId="5" applyFill="1" applyAlignment="1" applyProtection="1">
      <alignment horizontal="right"/>
    </xf>
    <xf numFmtId="0" fontId="11" fillId="0" borderId="13" xfId="0" applyNumberFormat="1" applyFont="1" applyFill="1" applyBorder="1" applyAlignment="1" applyProtection="1">
      <alignment horizontal="center" vertical="center"/>
      <protection locked="0"/>
    </xf>
    <xf numFmtId="44" fontId="11" fillId="0" borderId="12" xfId="0" applyNumberFormat="1" applyFont="1" applyFill="1" applyBorder="1" applyAlignment="1" applyProtection="1">
      <alignment horizontal="center" vertical="center"/>
      <protection locked="0"/>
    </xf>
    <xf numFmtId="0" fontId="9" fillId="0" borderId="13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2" xfId="2" applyNumberFormat="1" applyFont="1" applyFill="1" applyBorder="1" applyAlignment="1" applyProtection="1">
      <alignment horizontal="center" vertical="center"/>
    </xf>
    <xf numFmtId="0" fontId="9" fillId="0" borderId="2" xfId="2" applyFont="1" applyFill="1" applyBorder="1" applyAlignment="1" applyProtection="1">
      <alignment horizontal="left" vertical="center" wrapText="1"/>
      <protection locked="0"/>
    </xf>
    <xf numFmtId="0" fontId="8" fillId="0" borderId="2" xfId="2" applyNumberFormat="1" applyFont="1" applyFill="1" applyBorder="1" applyAlignment="1" applyProtection="1">
      <alignment horizontal="center" vertical="center"/>
      <protection locked="0"/>
    </xf>
    <xf numFmtId="44" fontId="8" fillId="0" borderId="2" xfId="3" applyNumberFormat="1" applyFont="1" applyFill="1" applyBorder="1" applyAlignment="1" applyProtection="1">
      <alignment horizontal="center" vertical="center"/>
      <protection locked="0"/>
    </xf>
    <xf numFmtId="44" fontId="18" fillId="0" borderId="2" xfId="1" applyNumberFormat="1" applyFont="1" applyFill="1" applyBorder="1" applyAlignment="1" applyProtection="1">
      <alignment horizontal="center" vertical="center"/>
    </xf>
    <xf numFmtId="0" fontId="8" fillId="0" borderId="2" xfId="0" applyNumberFormat="1" applyFont="1" applyFill="1" applyBorder="1" applyAlignment="1" applyProtection="1">
      <alignment horizontal="center" vertical="center"/>
    </xf>
    <xf numFmtId="44" fontId="18" fillId="0" borderId="2" xfId="0" applyNumberFormat="1" applyFont="1" applyFill="1" applyBorder="1" applyAlignment="1" applyProtection="1">
      <alignment horizontal="center" vertical="center"/>
    </xf>
    <xf numFmtId="0" fontId="8" fillId="0" borderId="0" xfId="2" applyFont="1" applyAlignment="1">
      <alignment horizontal="left" vertical="center" wrapText="1"/>
    </xf>
    <xf numFmtId="0" fontId="10" fillId="0" borderId="0" xfId="2" applyFont="1" applyBorder="1" applyAlignment="1">
      <alignment horizontal="left" vertical="top"/>
    </xf>
    <xf numFmtId="0" fontId="8" fillId="0" borderId="2" xfId="2" applyFont="1" applyBorder="1" applyAlignment="1">
      <alignment horizontal="left" wrapText="1"/>
    </xf>
    <xf numFmtId="0" fontId="8" fillId="0" borderId="0" xfId="2" applyFont="1" applyBorder="1" applyAlignment="1">
      <alignment horizontal="left" wrapText="1"/>
    </xf>
    <xf numFmtId="0" fontId="10" fillId="0" borderId="0" xfId="2" applyFont="1" applyAlignment="1">
      <alignment horizontal="left" vertical="top"/>
    </xf>
  </cellXfs>
  <cellStyles count="6">
    <cellStyle name="Hiperlink" xfId="5" builtinId="8"/>
    <cellStyle name="Moeda" xfId="1" builtinId="4"/>
    <cellStyle name="Moeda 2" xfId="3"/>
    <cellStyle name="Normal" xfId="0" builtinId="0"/>
    <cellStyle name="Normal 2" xfId="2"/>
    <cellStyle name="Porcentagem" xfId="4" builtinId="5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164" formatCode="0.000%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/>
        <bottom/>
      </border>
      <protection locked="0" hidden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</font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>
      <tableStyleElement type="wholeTable" dxfId="59"/>
    </tableStyle>
  </tableStyles>
  <colors>
    <mruColors>
      <color rgb="FF91BCE3"/>
      <color rgb="FF9EC4E6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485775</xdr:colOff>
      <xdr:row>13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86575" y="684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13</xdr:col>
      <xdr:colOff>714375</xdr:colOff>
      <xdr:row>9</xdr:row>
      <xdr:rowOff>161925</xdr:rowOff>
    </xdr:from>
    <xdr:ext cx="184731" cy="264560"/>
    <xdr:sp macro="" textlink="">
      <xdr:nvSpPr>
        <xdr:cNvPr id="3" name="CaixaDeTexto 2"/>
        <xdr:cNvSpPr txBox="1"/>
      </xdr:nvSpPr>
      <xdr:spPr>
        <a:xfrm>
          <a:off x="13639800" y="200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7</xdr:col>
      <xdr:colOff>31750</xdr:colOff>
      <xdr:row>4</xdr:row>
      <xdr:rowOff>98425</xdr:rowOff>
    </xdr:from>
    <xdr:to>
      <xdr:col>9</xdr:col>
      <xdr:colOff>898525</xdr:colOff>
      <xdr:row>15</xdr:row>
      <xdr:rowOff>247650</xdr:rowOff>
    </xdr:to>
    <xdr:grpSp>
      <xdr:nvGrpSpPr>
        <xdr:cNvPr id="6" name="grupoBtns"/>
        <xdr:cNvGrpSpPr/>
      </xdr:nvGrpSpPr>
      <xdr:grpSpPr>
        <a:xfrm>
          <a:off x="8128000" y="889000"/>
          <a:ext cx="2867025" cy="3016250"/>
          <a:chOff x="8128000" y="317500"/>
          <a:chExt cx="2733675" cy="3511550"/>
        </a:xfrm>
      </xdr:grpSpPr>
      <xdr:sp macro="" textlink="">
        <xdr:nvSpPr>
          <xdr:cNvPr id="8" name="Retângulo 7"/>
          <xdr:cNvSpPr/>
        </xdr:nvSpPr>
        <xdr:spPr>
          <a:xfrm>
            <a:off x="8128000" y="317500"/>
            <a:ext cx="2733675" cy="3511550"/>
          </a:xfrm>
          <a:prstGeom prst="rect">
            <a:avLst/>
          </a:prstGeom>
          <a:solidFill>
            <a:srgbClr val="9EC4E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allUserForm" textlink="">
        <xdr:nvSpPr>
          <xdr:cNvPr id="10" name="Retângulo 9"/>
          <xdr:cNvSpPr>
            <a:spLocks/>
          </xdr:cNvSpPr>
        </xdr:nvSpPr>
        <xdr:spPr>
          <a:xfrm>
            <a:off x="8251822" y="1091383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Bwc</a:t>
            </a:r>
          </a:p>
        </xdr:txBody>
      </xdr:sp>
      <xdr:sp macro="[0]!ExportarPDF" textlink="">
        <xdr:nvSpPr>
          <xdr:cNvPr id="12" name="Retângulo 11"/>
          <xdr:cNvSpPr>
            <a:spLocks/>
          </xdr:cNvSpPr>
        </xdr:nvSpPr>
        <xdr:spPr>
          <a:xfrm>
            <a:off x="8266729" y="3155837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Bahnschrift SemiCondensed" panose="020B0502040204020203" pitchFamily="34" charset="0"/>
              </a:rPr>
              <a:t>Gerar</a:t>
            </a:r>
            <a:r>
              <a:rPr lang="pt-BR" sz="1600" baseline="0">
                <a:effectLst/>
                <a:latin typeface="Bahnschrift SemiCondensed" panose="020B0502040204020203" pitchFamily="34" charset="0"/>
              </a:rPr>
              <a:t> PDF</a:t>
            </a:r>
            <a:endParaRPr lang="pt-BR" sz="1600">
              <a:effectLst/>
              <a:latin typeface="Bahnschrift SemiCondensed" panose="020B0502040204020203" pitchFamily="34" charset="0"/>
            </a:endParaRPr>
          </a:p>
        </xdr:txBody>
      </xdr:sp>
      <xdr:sp macro="[0]!excluirLinha" textlink="">
        <xdr:nvSpPr>
          <xdr:cNvPr id="13" name="Retângulo 12"/>
          <xdr:cNvSpPr>
            <a:spLocks/>
          </xdr:cNvSpPr>
        </xdr:nvSpPr>
        <xdr:spPr>
          <a:xfrm>
            <a:off x="8270572" y="2483917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Excluir Item</a:t>
            </a:r>
          </a:p>
        </xdr:txBody>
      </xdr:sp>
      <xdr:sp macro="[0]!NovoOrcamento" textlink="">
        <xdr:nvSpPr>
          <xdr:cNvPr id="24" name="Retângulo 23"/>
          <xdr:cNvSpPr>
            <a:spLocks/>
          </xdr:cNvSpPr>
        </xdr:nvSpPr>
        <xdr:spPr>
          <a:xfrm>
            <a:off x="8270572" y="410836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Novo</a:t>
            </a:r>
            <a:r>
              <a:rPr lang="pt-BR" sz="1100" baseline="0">
                <a:latin typeface="Bahnschrift SemiCondensed" panose="020B0502040204020203" pitchFamily="34" charset="0"/>
              </a:rPr>
              <a:t> Orçamento</a:t>
            </a:r>
            <a:endParaRPr lang="pt-BR" sz="11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16" name="Cliente"/>
          <xdr:cNvSpPr>
            <a:spLocks/>
          </xdr:cNvSpPr>
        </xdr:nvSpPr>
        <xdr:spPr>
          <a:xfrm>
            <a:off x="9575797" y="412697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Dados</a:t>
            </a:r>
            <a:r>
              <a:rPr lang="pt-BR" sz="1100" baseline="0">
                <a:latin typeface="Bahnschrift SemiCondensed" panose="020B0502040204020203" pitchFamily="34" charset="0"/>
              </a:rPr>
              <a:t> </a:t>
            </a:r>
            <a:r>
              <a:rPr lang="pt-BR" sz="1100">
                <a:latin typeface="Bahnschrift SemiCondensed" panose="020B0502040204020203" pitchFamily="34" charset="0"/>
              </a:rPr>
              <a:t>Orçamento</a:t>
            </a:r>
          </a:p>
        </xdr:txBody>
      </xdr:sp>
      <xdr:sp macro="[0]!MenuClick" textlink="">
        <xdr:nvSpPr>
          <xdr:cNvPr id="17" name="Chapas"/>
          <xdr:cNvSpPr>
            <a:spLocks/>
          </xdr:cNvSpPr>
        </xdr:nvSpPr>
        <xdr:spPr>
          <a:xfrm>
            <a:off x="9575797" y="1105394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Valor</a:t>
            </a:r>
            <a:r>
              <a:rPr lang="pt-BR" sz="1400" baseline="0">
                <a:latin typeface="Bahnschrift SemiCondensed" panose="020B0502040204020203" pitchFamily="34" charset="0"/>
              </a:rPr>
              <a:t> Chapas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22" name="Acess"/>
          <xdr:cNvSpPr>
            <a:spLocks/>
          </xdr:cNvSpPr>
        </xdr:nvSpPr>
        <xdr:spPr>
          <a:xfrm>
            <a:off x="9585322" y="1807612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Valor Acessórios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CallUserForm2" textlink="">
        <xdr:nvSpPr>
          <xdr:cNvPr id="14" name="Retângulo 13"/>
          <xdr:cNvSpPr>
            <a:spLocks/>
          </xdr:cNvSpPr>
        </xdr:nvSpPr>
        <xdr:spPr>
          <a:xfrm>
            <a:off x="8261347" y="1787186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50">
                <a:latin typeface="Bahnschrift SemiCondensed" panose="020B0502040204020203" pitchFamily="34" charset="0"/>
              </a:rPr>
              <a:t>Inserir Tampo</a:t>
            </a:r>
          </a:p>
        </xdr:txBody>
      </xdr:sp>
      <xdr:sp macro="[0]!MenuClick" textlink="">
        <xdr:nvSpPr>
          <xdr:cNvPr id="20" name="Granito"/>
          <xdr:cNvSpPr>
            <a:spLocks/>
          </xdr:cNvSpPr>
        </xdr:nvSpPr>
        <xdr:spPr>
          <a:xfrm>
            <a:off x="9591675" y="2487599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50">
                <a:latin typeface="Bahnschrift SemiCondensed" panose="020B0502040204020203" pitchFamily="34" charset="0"/>
              </a:rPr>
              <a:t>Valor Granitos</a:t>
            </a:r>
          </a:p>
        </xdr:txBody>
      </xdr:sp>
      <xdr:sp macro="[0]!MenuClick" textlink="">
        <xdr:nvSpPr>
          <xdr:cNvPr id="35" name="Cubas"/>
          <xdr:cNvSpPr>
            <a:spLocks/>
          </xdr:cNvSpPr>
        </xdr:nvSpPr>
        <xdr:spPr>
          <a:xfrm>
            <a:off x="9601200" y="3154349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Valor Cubas</a:t>
            </a:r>
            <a:endParaRPr lang="pt-BR" sz="1800">
              <a:latin typeface="Bahnschrift SemiCondensed" panose="020B0502040204020203" pitchFamily="34" charset="0"/>
            </a:endParaRPr>
          </a:p>
        </xdr:txBody>
      </xdr:sp>
    </xdr:grpSp>
    <xdr:clientData fPrintsWithSheet="0"/>
  </xdr:twoCellAnchor>
</xdr:wsDr>
</file>

<file path=xl/tables/table1.xml><?xml version="1.0" encoding="utf-8"?>
<table xmlns="http://schemas.openxmlformats.org/spreadsheetml/2006/main" id="13" name="OrcamentTbl" displayName="OrcamentTbl" ref="B9:F11" totalsRowCount="1" headerRowDxfId="58" dataDxfId="27" totalsRowDxfId="56" tableBorderDxfId="57" totalsRowBorderDxfId="55">
  <autoFilter ref="B9:F10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" dataDxfId="26" totalsRowDxfId="32" dataCellStyle="Normal 2"/>
    <tableColumn id="2" name="DESCRIÇÃO" totalsRowLabel="TOTAL" dataDxfId="25" totalsRowDxfId="30" dataCellStyle="Normal 2"/>
    <tableColumn id="3" name="QTDE" dataDxfId="24" totalsRowDxfId="29" dataCellStyle="Normal 2"/>
    <tableColumn id="4" name="VALOR UNT." dataDxfId="22" totalsRowDxfId="28" dataCellStyle="Moeda 2"/>
    <tableColumn id="5" name="SUB TOTAL" totalsRowFunction="custom" dataDxfId="23" totalsRowDxfId="31" dataCellStyle="Moeda">
      <calculatedColumnFormula>OrcamentTbl[VALOR UNT.]*OrcamentTbl[QTDE]</calculatedColumnFormula>
      <totalsRowFormula>SUBTOTAL(109,OrcamentTbl[SUB TOTAL])</totalsRow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ValoresChapas" displayName="ValoresChapas" ref="U2:Z3" totalsRowShown="0" headerRowDxfId="54" dataDxfId="4" tableBorderDxfId="53">
  <autoFilter ref="U2:Z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name="CUSTOS" dataDxfId="2"/>
    <tableColumn id="1" name="m²" dataDxfId="3">
      <calculatedColumnFormula>1.22*2.44</calculatedColumnFormula>
    </tableColumn>
    <tableColumn id="2" name="5mm" dataDxfId="8"/>
    <tableColumn id="3" name="10mm" dataDxfId="7"/>
    <tableColumn id="4" name="15mm" dataDxfId="6"/>
    <tableColumn id="5" name="20mm" dataDxfId="5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2" name="ValoresAcess" displayName="ValoresAcess" ref="U5:Z6" totalsRowShown="0" headerRowDxfId="52" dataDxfId="15" tableBorderDxfId="51" dataCellStyle="Moeda">
  <autoFilter ref="U5:Z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OBRADIÇA" dataDxfId="21" dataCellStyle="Moeda"/>
    <tableColumn id="2" name="PUXADOR" dataDxfId="20" dataCellStyle="Moeda"/>
    <tableColumn id="3" name="TINTA m²" dataDxfId="19" dataCellStyle="Moeda"/>
    <tableColumn id="4" name="ESPELHO m²" dataDxfId="18" dataCellStyle="Moeda"/>
    <tableColumn id="5" name="CORREDIÇA" dataDxfId="17" dataCellStyle="Moeda"/>
    <tableColumn id="6" name="PÉ" dataDxfId="16" dataCellStyle="Moeda">
      <calculatedColumnFormula>1.9*1.1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DadosOrcto" displayName="DadosOrcto" ref="H2:L3" totalsRowShown="0" headerRowDxfId="50" dataDxfId="9" headerRowBorderDxfId="49" tableBorderDxfId="48" totalsRowBorderDxfId="47" headerRowCellStyle="Normal 2">
  <autoFilter ref="H2:L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LIENTE" dataDxfId="14" dataCellStyle="Normal 2"/>
    <tableColumn id="2" name="DATA" dataDxfId="13" dataCellStyle="Normal 2"/>
    <tableColumn id="3" name="Nº" dataDxfId="12" dataCellStyle="Normal 2"/>
    <tableColumn id="4" name="MARKUP" dataDxfId="11" dataCellStyle="Normal 2"/>
    <tableColumn id="5" name="ACRES." dataDxfId="10" dataCellStyle="Porcentagem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coresGranito" displayName="coresGranito" ref="AB2:AF3" totalsRowShown="0" headerRowDxfId="46" dataDxfId="45" tableBorderDxfId="44" dataCellStyle="Moeda">
  <autoFilter ref="AB2:AF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res granito" dataDxfId="0" dataCellStyle="Moeda"/>
    <tableColumn id="2" name="Verde Labrador" dataDxfId="1" dataCellStyle="Moeda"/>
    <tableColumn id="3" name="Preto São Gabriel" dataDxfId="43" dataCellStyle="Moeda"/>
    <tableColumn id="4" name="Cinza Andorinha" dataDxfId="42" dataCellStyle="Moeda"/>
    <tableColumn id="5" name="Branco Itaúnas" dataDxfId="41" dataCellStyle="Moeda"/>
  </tableColumns>
  <tableStyleInfo name="TableStyleDark8" showFirstColumn="0" showLastColumn="0" showRowStripes="1" showColumnStripes="0"/>
</table>
</file>

<file path=xl/tables/table6.xml><?xml version="1.0" encoding="utf-8"?>
<table xmlns="http://schemas.openxmlformats.org/spreadsheetml/2006/main" id="4" name="modelosCubas" displayName="modelosCubas" ref="AB5:AF6" totalsRowShown="0" headerRowDxfId="40" dataDxfId="39" tableBorderDxfId="38" dataCellStyle="Moeda">
  <autoFilter ref="AB5:AF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ubas" dataDxfId="37" dataCellStyle="Moeda"/>
    <tableColumn id="2" name="Redonda branca" dataDxfId="36" dataCellStyle="Moeda"/>
    <tableColumn id="3" name="Redonda Slim" dataDxfId="35" dataCellStyle="Moeda"/>
    <tableColumn id="4" name="Retangular" dataDxfId="34" dataCellStyle="Moeda"/>
    <tableColumn id="5" name="Retangular Slim" dataDxfId="33" dataCellStyle="Moeda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13" Type="http://schemas.openxmlformats.org/officeDocument/2006/relationships/table" Target="../tables/table6.xml"/><Relationship Id="rId3" Type="http://schemas.openxmlformats.org/officeDocument/2006/relationships/hyperlink" Target="https://www.mercadolivre.com.br/cuba-de-apoio-retangular-cmesa-350x315-l730017-deca-cor-branco/p/MLB20903100" TargetMode="External"/><Relationship Id="rId7" Type="http://schemas.openxmlformats.org/officeDocument/2006/relationships/vmlDrawing" Target="../drawings/vmlDrawing1.vml"/><Relationship Id="rId12" Type="http://schemas.openxmlformats.org/officeDocument/2006/relationships/table" Target="../tables/table5.xml"/><Relationship Id="rId2" Type="http://schemas.openxmlformats.org/officeDocument/2006/relationships/hyperlink" Target="https://www.mercadolivre.com.br/cuba-de-apoio-deca-30x30-l1203017-redonda-branca-cor-branco/p/MLB20763750" TargetMode="External"/><Relationship Id="rId1" Type="http://schemas.openxmlformats.org/officeDocument/2006/relationships/hyperlink" Target="https://www.leroymerlin.com.br/cuba-para-banheiro-de-apoio-em-louca-redonda-branca-35cm-r1-celite_87792726" TargetMode="External"/><Relationship Id="rId6" Type="http://schemas.openxmlformats.org/officeDocument/2006/relationships/drawing" Target="../drawings/drawing1.xml"/><Relationship Id="rId11" Type="http://schemas.openxmlformats.org/officeDocument/2006/relationships/table" Target="../tables/table4.xml"/><Relationship Id="rId5" Type="http://schemas.openxmlformats.org/officeDocument/2006/relationships/printerSettings" Target="../printerSettings/printerSettings1.bin"/><Relationship Id="rId10" Type="http://schemas.openxmlformats.org/officeDocument/2006/relationships/table" Target="../tables/table3.xml"/><Relationship Id="rId4" Type="http://schemas.openxmlformats.org/officeDocument/2006/relationships/hyperlink" Target="https://www.mercadolivre.com.br/cuba-de-apoio-retangular-slim-branco-deca-40-cm/p/MLB20245981" TargetMode="Externa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B1:AH24"/>
  <sheetViews>
    <sheetView showGridLines="0" tabSelected="1" zoomScaleNormal="100" workbookViewId="0">
      <selection activeCell="L11" sqref="L11"/>
    </sheetView>
  </sheetViews>
  <sheetFormatPr defaultRowHeight="15" x14ac:dyDescent="0.25"/>
  <cols>
    <col min="1" max="1" width="2.140625" style="1" customWidth="1"/>
    <col min="2" max="2" width="5.5703125" style="1" customWidth="1"/>
    <col min="3" max="3" width="70.28515625" style="1" customWidth="1"/>
    <col min="4" max="4" width="6.42578125" style="1" customWidth="1"/>
    <col min="5" max="5" width="16.140625" style="1" bestFit="1" customWidth="1"/>
    <col min="6" max="6" width="18" style="7" bestFit="1" customWidth="1"/>
    <col min="7" max="7" width="2.85546875" style="1" customWidth="1"/>
    <col min="8" max="12" width="15" style="1" customWidth="1"/>
    <col min="13" max="13" width="13.7109375" style="1" customWidth="1"/>
    <col min="14" max="14" width="12" style="1" customWidth="1"/>
    <col min="15" max="15" width="13.140625" style="1" customWidth="1"/>
    <col min="16" max="16" width="13.7109375" style="1" customWidth="1"/>
    <col min="17" max="17" width="13.28515625" style="1" customWidth="1"/>
    <col min="18" max="18" width="10.5703125" style="1" customWidth="1"/>
    <col min="19" max="19" width="9" style="1" customWidth="1"/>
    <col min="20" max="20" width="11.140625" style="1" customWidth="1"/>
    <col min="21" max="26" width="13.28515625" customWidth="1"/>
    <col min="28" max="32" width="15.85546875" customWidth="1"/>
    <col min="33" max="33" width="18.5703125" customWidth="1"/>
    <col min="34" max="34" width="17.5703125" customWidth="1"/>
    <col min="35" max="35" width="16" style="1" customWidth="1"/>
    <col min="36" max="37" width="17.5703125" style="1" customWidth="1"/>
    <col min="38" max="38" width="12.28515625" style="1" bestFit="1" customWidth="1"/>
    <col min="39" max="16384" width="9.140625" style="1"/>
  </cols>
  <sheetData>
    <row r="1" spans="2:34" x14ac:dyDescent="0.25">
      <c r="F1" s="2"/>
      <c r="G1" s="15" t="s">
        <v>38</v>
      </c>
    </row>
    <row r="2" spans="2:34" ht="15.75" customHeight="1" x14ac:dyDescent="0.25">
      <c r="B2" s="14"/>
      <c r="C2" s="14"/>
      <c r="D2" s="14"/>
      <c r="E2" s="14"/>
      <c r="F2" s="14"/>
      <c r="H2" s="33" t="s">
        <v>19</v>
      </c>
      <c r="I2" s="34" t="s">
        <v>20</v>
      </c>
      <c r="J2" s="34" t="s">
        <v>21</v>
      </c>
      <c r="K2" s="35" t="s">
        <v>22</v>
      </c>
      <c r="L2" s="34" t="s">
        <v>37</v>
      </c>
      <c r="U2" s="23" t="s">
        <v>18</v>
      </c>
      <c r="V2" s="24" t="s">
        <v>2</v>
      </c>
      <c r="W2" s="24" t="s">
        <v>3</v>
      </c>
      <c r="X2" s="24" t="s">
        <v>4</v>
      </c>
      <c r="Y2" s="24" t="s">
        <v>5</v>
      </c>
      <c r="Z2" s="24" t="s">
        <v>6</v>
      </c>
      <c r="AB2" s="43" t="s">
        <v>24</v>
      </c>
      <c r="AC2" s="43" t="s">
        <v>25</v>
      </c>
      <c r="AD2" s="43" t="s">
        <v>26</v>
      </c>
      <c r="AE2" s="43" t="s">
        <v>27</v>
      </c>
      <c r="AF2" s="43" t="s">
        <v>28</v>
      </c>
    </row>
    <row r="3" spans="2:34" ht="15.75" customHeight="1" x14ac:dyDescent="0.25">
      <c r="B3" s="14"/>
      <c r="C3" s="14"/>
      <c r="D3" s="14"/>
      <c r="E3" s="63" t="s">
        <v>41</v>
      </c>
      <c r="F3" s="63"/>
      <c r="H3" s="36" t="s">
        <v>40</v>
      </c>
      <c r="I3" s="39">
        <v>45964</v>
      </c>
      <c r="J3" s="37">
        <v>3090</v>
      </c>
      <c r="K3" s="38">
        <v>3</v>
      </c>
      <c r="L3" s="45">
        <v>0.12232999999999999</v>
      </c>
      <c r="U3" s="25" t="s">
        <v>23</v>
      </c>
      <c r="V3" s="41">
        <f>1.22*2.44</f>
        <v>2.9767999999999999</v>
      </c>
      <c r="W3" s="26">
        <v>94.33</v>
      </c>
      <c r="X3" s="26">
        <v>177.82</v>
      </c>
      <c r="Y3" s="26">
        <v>283.01</v>
      </c>
      <c r="Z3" s="26">
        <v>377.34</v>
      </c>
      <c r="AB3" s="42" t="s">
        <v>29</v>
      </c>
      <c r="AC3" s="44">
        <v>140</v>
      </c>
      <c r="AD3" s="44">
        <v>295</v>
      </c>
      <c r="AE3" s="44">
        <v>150</v>
      </c>
      <c r="AF3" s="44">
        <v>270</v>
      </c>
    </row>
    <row r="4" spans="2:34" ht="15.75" customHeight="1" x14ac:dyDescent="0.25">
      <c r="D4" s="3"/>
      <c r="E4" s="63" t="s">
        <v>42</v>
      </c>
      <c r="F4" s="63"/>
      <c r="H4" s="32"/>
      <c r="I4" s="32"/>
      <c r="J4" s="32"/>
      <c r="K4" s="32"/>
      <c r="L4" s="32"/>
      <c r="M4" s="18"/>
      <c r="AD4" s="1"/>
      <c r="AE4" s="1"/>
      <c r="AF4" s="1"/>
      <c r="AG4" s="1"/>
      <c r="AH4" s="1"/>
    </row>
    <row r="5" spans="2:34" s="5" customFormat="1" ht="15.75" x14ac:dyDescent="0.25">
      <c r="B5" s="4" t="s">
        <v>11</v>
      </c>
      <c r="E5" s="60" t="s">
        <v>43</v>
      </c>
      <c r="F5" s="60"/>
      <c r="M5" s="18"/>
      <c r="U5" s="20" t="s">
        <v>9</v>
      </c>
      <c r="V5" s="21" t="s">
        <v>0</v>
      </c>
      <c r="W5" s="21" t="s">
        <v>7</v>
      </c>
      <c r="X5" s="21" t="s">
        <v>8</v>
      </c>
      <c r="Y5" s="21" t="s">
        <v>10</v>
      </c>
      <c r="Z5" s="22" t="s">
        <v>1</v>
      </c>
      <c r="AB5" s="46" t="s">
        <v>31</v>
      </c>
      <c r="AC5" s="48" t="s">
        <v>32</v>
      </c>
      <c r="AD5" s="47" t="s">
        <v>33</v>
      </c>
      <c r="AE5" s="47" t="s">
        <v>34</v>
      </c>
      <c r="AF5" s="47" t="s">
        <v>35</v>
      </c>
    </row>
    <row r="6" spans="2:34" ht="15.75" x14ac:dyDescent="0.25">
      <c r="B6" s="12"/>
      <c r="C6" s="12"/>
      <c r="O6"/>
      <c r="P6"/>
      <c r="Q6"/>
      <c r="R6"/>
      <c r="S6"/>
      <c r="T6"/>
      <c r="U6" s="27">
        <v>7</v>
      </c>
      <c r="V6" s="28">
        <v>10</v>
      </c>
      <c r="W6" s="28">
        <v>110</v>
      </c>
      <c r="X6" s="28">
        <v>135</v>
      </c>
      <c r="Y6" s="28">
        <v>135</v>
      </c>
      <c r="Z6" s="29">
        <f>1.9*1.1</f>
        <v>2.09</v>
      </c>
      <c r="AB6" s="42" t="s">
        <v>36</v>
      </c>
      <c r="AC6" s="44">
        <v>140</v>
      </c>
      <c r="AD6" s="44">
        <v>295</v>
      </c>
      <c r="AE6" s="44">
        <v>150</v>
      </c>
      <c r="AF6" s="44">
        <v>270</v>
      </c>
      <c r="AG6" s="1"/>
      <c r="AH6" s="1"/>
    </row>
    <row r="7" spans="2:34" ht="15.75" x14ac:dyDescent="0.25">
      <c r="B7" s="12"/>
      <c r="C7" s="12"/>
      <c r="N7"/>
      <c r="O7"/>
      <c r="P7"/>
      <c r="Q7"/>
      <c r="R7"/>
      <c r="S7"/>
      <c r="T7"/>
      <c r="AA7" s="1"/>
      <c r="AB7" s="1"/>
      <c r="AC7" s="1"/>
      <c r="AD7" s="1"/>
      <c r="AE7" s="1"/>
      <c r="AF7" s="1"/>
      <c r="AG7" s="1" t="s">
        <v>30</v>
      </c>
      <c r="AH7" s="1"/>
    </row>
    <row r="8" spans="2:34" ht="20.25" customHeight="1" x14ac:dyDescent="0.25">
      <c r="B8" s="13"/>
      <c r="C8" s="13"/>
    </row>
    <row r="9" spans="2:34" x14ac:dyDescent="0.25">
      <c r="B9" s="8" t="s">
        <v>12</v>
      </c>
      <c r="C9" s="9" t="s">
        <v>13</v>
      </c>
      <c r="D9" s="9" t="s">
        <v>14</v>
      </c>
      <c r="E9" s="10" t="s">
        <v>15</v>
      </c>
      <c r="F9" s="11" t="s">
        <v>16</v>
      </c>
      <c r="G9" s="6"/>
      <c r="L9" s="16"/>
      <c r="M9" s="16"/>
    </row>
    <row r="10" spans="2:34" s="16" customFormat="1" ht="29.25" x14ac:dyDescent="0.25">
      <c r="B10" s="52">
        <v>1</v>
      </c>
      <c r="C10" s="53" t="s">
        <v>44</v>
      </c>
      <c r="D10" s="54">
        <v>1</v>
      </c>
      <c r="E10" s="55">
        <v>1570</v>
      </c>
      <c r="F10" s="56">
        <f>OrcamentTbl[VALOR UNT.]*OrcamentTbl[QTDE]</f>
        <v>1570</v>
      </c>
      <c r="H10" s="18"/>
      <c r="I10" s="18"/>
      <c r="J10" s="18"/>
      <c r="K10" s="18"/>
      <c r="L10" s="18"/>
      <c r="M10" s="18"/>
      <c r="N10" s="16" t="s">
        <v>39</v>
      </c>
      <c r="Y10" s="17"/>
      <c r="Z10" s="17"/>
      <c r="AA10" s="17"/>
      <c r="AD10" s="17"/>
      <c r="AE10" s="17"/>
      <c r="AF10" s="17"/>
      <c r="AG10" s="17"/>
      <c r="AH10" s="17"/>
    </row>
    <row r="11" spans="2:34" s="18" customFormat="1" ht="35.1" customHeight="1" x14ac:dyDescent="0.25">
      <c r="B11" s="57"/>
      <c r="C11" s="51" t="s">
        <v>17</v>
      </c>
      <c r="D11" s="49"/>
      <c r="E11" s="50"/>
      <c r="F11" s="58">
        <f>SUBTOTAL(109,OrcamentTbl[SUB TOTAL])</f>
        <v>1570</v>
      </c>
      <c r="V11" s="19"/>
      <c r="W11" s="19"/>
      <c r="X11" s="19"/>
      <c r="Y11" s="19"/>
      <c r="Z11" s="19"/>
      <c r="AA11" s="19"/>
      <c r="AC11" s="19"/>
      <c r="AD11" s="19"/>
      <c r="AE11" s="19"/>
      <c r="AF11" s="19"/>
      <c r="AG11" s="19"/>
      <c r="AH11" s="19"/>
    </row>
    <row r="12" spans="2:34" s="18" customFormat="1" ht="35.1" customHeight="1" x14ac:dyDescent="0.25">
      <c r="B12" s="61"/>
      <c r="C12" s="62"/>
      <c r="D12" s="62"/>
      <c r="E12" s="62"/>
      <c r="F12" s="62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</row>
    <row r="13" spans="2:34" s="18" customFormat="1" x14ac:dyDescent="0.25">
      <c r="B13" s="59"/>
      <c r="C13" s="59"/>
      <c r="D13" s="59"/>
      <c r="E13" s="59"/>
      <c r="F13" s="5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</row>
    <row r="14" spans="2:34" s="18" customFormat="1" x14ac:dyDescent="0.25">
      <c r="B14" s="1"/>
      <c r="C14" s="1"/>
      <c r="D14" s="1"/>
      <c r="E14" s="1"/>
      <c r="F14" s="7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</row>
    <row r="15" spans="2:34" s="18" customFormat="1" x14ac:dyDescent="0.25">
      <c r="B15" s="1"/>
      <c r="C15" s="1"/>
      <c r="D15" s="1"/>
      <c r="E15" s="1"/>
      <c r="F15" s="7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</row>
    <row r="16" spans="2:34" s="18" customFormat="1" ht="35.1" customHeight="1" x14ac:dyDescent="0.25">
      <c r="B16" s="1"/>
      <c r="C16" s="1"/>
      <c r="D16" s="1"/>
      <c r="E16" s="1"/>
      <c r="F16" s="40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</row>
    <row r="17" spans="2:34" s="18" customFormat="1" x14ac:dyDescent="0.25">
      <c r="B17" s="1"/>
      <c r="C17" s="1"/>
      <c r="D17" s="1"/>
      <c r="E17" s="1"/>
      <c r="F17" s="7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</row>
    <row r="18" spans="2:34" s="18" customFormat="1" ht="35.1" customHeight="1" x14ac:dyDescent="0.25">
      <c r="B18" s="1"/>
      <c r="C18" s="1"/>
      <c r="D18" s="1"/>
      <c r="E18" s="1"/>
      <c r="F18" s="7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</row>
    <row r="19" spans="2:34" s="18" customFormat="1" ht="35.1" customHeight="1" x14ac:dyDescent="0.25">
      <c r="B19" s="1"/>
      <c r="C19" s="1"/>
      <c r="D19" s="1"/>
      <c r="E19" s="1"/>
      <c r="F19" s="7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</row>
    <row r="20" spans="2:34" s="18" customFormat="1" ht="35.1" customHeight="1" x14ac:dyDescent="0.25">
      <c r="B20" s="1"/>
      <c r="C20" s="1"/>
      <c r="D20" s="1"/>
      <c r="E20" s="1"/>
      <c r="F20" s="7"/>
      <c r="M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</row>
    <row r="21" spans="2:34" s="18" customFormat="1" ht="35.1" customHeight="1" x14ac:dyDescent="0.25">
      <c r="B21" s="1"/>
      <c r="C21" s="1"/>
      <c r="D21" s="1"/>
      <c r="E21" s="1"/>
      <c r="F21" s="7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</row>
    <row r="22" spans="2:34" s="18" customFormat="1" ht="35.1" customHeight="1" x14ac:dyDescent="0.25">
      <c r="B22" s="1"/>
      <c r="C22" s="1"/>
      <c r="D22" s="1"/>
      <c r="E22" s="1"/>
      <c r="F22" s="7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</row>
    <row r="23" spans="2:34" s="18" customFormat="1" ht="35.1" customHeight="1" x14ac:dyDescent="0.25">
      <c r="B23" s="1"/>
      <c r="C23" s="1"/>
      <c r="D23" s="1"/>
      <c r="E23" s="1"/>
      <c r="F23" s="7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</row>
    <row r="24" spans="2:34" s="30" customFormat="1" ht="35.1" customHeight="1" x14ac:dyDescent="0.25">
      <c r="B24" s="1"/>
      <c r="C24" s="1"/>
      <c r="D24" s="1"/>
      <c r="E24" s="1"/>
      <c r="F24" s="7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</sheetData>
  <mergeCells count="5">
    <mergeCell ref="B13:F13"/>
    <mergeCell ref="E5:F5"/>
    <mergeCell ref="B12:F12"/>
    <mergeCell ref="E3:F3"/>
    <mergeCell ref="E4:F4"/>
  </mergeCells>
  <hyperlinks>
    <hyperlink ref="AC5" r:id="rId1"/>
    <hyperlink ref="AD5" r:id="rId2"/>
    <hyperlink ref="AE5" r:id="rId3"/>
    <hyperlink ref="AF5" r:id="rId4"/>
  </hyperlinks>
  <printOptions horizontalCentered="1"/>
  <pageMargins left="0.15748031496062992" right="0.15748031496062992" top="0.51181102362204722" bottom="0" header="0" footer="0"/>
  <pageSetup paperSize="9" scale="87" fitToHeight="0" orientation="portrait" r:id="rId5"/>
  <headerFooter scaleWithDoc="0">
    <oddHeader>&amp;L&amp;G</oddHeader>
    <oddFooter xml:space="preserve">&amp;CRua da Tiriva, 111 - Colombo/PR
41 3663-2544 / 41 99236-6192 / 41 99194-6985
moveisacquamob@gmail.com
</oddFooter>
  </headerFooter>
  <drawing r:id="rId6"/>
  <legacyDrawingHF r:id="rId7"/>
  <tableParts count="6"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"/>
  <sheetViews>
    <sheetView showGridLines="0" workbookViewId="0">
      <selection activeCell="B2" sqref="B2"/>
    </sheetView>
  </sheetViews>
  <sheetFormatPr defaultRowHeight="15" x14ac:dyDescent="0.25"/>
  <cols>
    <col min="2" max="2" width="17.42578125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ORÇAMENTO</vt:lpstr>
      <vt:lpstr>Cadastro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TRABALHO</dc:creator>
  <cp:lastModifiedBy>PC TRABALHO</cp:lastModifiedBy>
  <cp:lastPrinted>2025-11-03T16:18:50Z</cp:lastPrinted>
  <dcterms:created xsi:type="dcterms:W3CDTF">2024-06-20T11:26:17Z</dcterms:created>
  <dcterms:modified xsi:type="dcterms:W3CDTF">2025-11-03T17:00:28Z</dcterms:modified>
</cp:coreProperties>
</file>