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31-10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  <sheet name="Planilha1" sheetId="6" state="hidden" r:id="rId3"/>
  </sheets>
  <functionGroups builtInGroupCount="18"/>
  <definedNames>
    <definedName name="ainf">#REF!</definedName>
    <definedName name="_xlnm.Print_Area" localSheetId="0">ORÇAMENTO!$B$1:$F$14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5" l="1"/>
  <c r="F12" i="5"/>
  <c r="F11" i="5"/>
  <c r="F10" i="5" l="1"/>
  <c r="V3" i="5" l="1"/>
  <c r="F14" i="5" l="1"/>
</calcChain>
</file>

<file path=xl/sharedStrings.xml><?xml version="1.0" encoding="utf-8"?>
<sst xmlns="http://schemas.openxmlformats.org/spreadsheetml/2006/main" count="37" uniqueCount="35">
  <si>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</si>
  <si>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</si>
  <si>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</si>
  <si>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</si>
  <si>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</si>
  <si>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</si>
  <si>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</si>
  <si>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</si>
  <si>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</si>
  <si>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</si>
  <si>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</si>
  <si>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</si>
  <si>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</si>
  <si>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</si>
  <si>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</si>
  <si>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</si>
  <si>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</si>
  <si>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</si>
  <si>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</si>
  <si>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</si>
  <si>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</si>
  <si>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</si>
  <si>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</si>
  <si>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</si>
  <si>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DATA: 10/01/2025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</si>
  <si>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</si>
  <si>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</si>
  <si>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</si>
  <si>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</si>
  <si>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</si>
  <si>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</si>
  <si>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</si>
  <si>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</si>
  <si>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BANHEIRO: Armário suspenso a prova dagua pintado na cor Branca med. 80x80x17cm com 1 porta, molduras, espelho e ferragens em inox e; Balcão a prova dagua pintado na cor Branca med. 80x70x50cm com 2 portas com moldura e almofada e ferragens em inox.</t>
  </si>
  <si>
    <t>BANHEIRO: Armário suspenso a prova dagua pintado na cor Branca med. 0,5x80x17cm com 1 porta, molduras, espelho e ferragens em inox e; Balcão a prova dagua pintado na cor Branca med. 80x70x50cm com 2 portas com moldura e almofada e ferragens em inox.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</si>
</sst>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</font>
    <font>
      <b/>
      <sz val="11"/>
      <color theme="1"/>
      <name val="Arial"/>
    </font>
    <font>
      <b/>
      <sz val="11"/>
      <name val="Arial"/>
    </font>
    <font>
      <sz val="1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6" fillId="0" borderId="2" xfId="0" applyNumberFormat="1" applyFont="1" applyFill="1" applyBorder="1" applyAlignment="1" applyProtection="1">
      <alignment horizontal="center" vertical="center"/>
    </xf>
    <xf numFmtId="0" fontId="18" fillId="0" borderId="8" xfId="0" applyNumberFormat="1" applyFont="1" applyFill="1" applyBorder="1" applyAlignment="1" applyProtection="1">
      <alignment horizontal="center" vertical="center" wrapText="1"/>
    </xf>
    <xf numFmtId="0" fontId="17" fillId="0" borderId="8" xfId="0" applyNumberFormat="1" applyFont="1" applyFill="1" applyBorder="1" applyAlignment="1" applyProtection="1">
      <alignment horizontal="center" vertical="center"/>
    </xf>
    <xf numFmtId="44" fontId="17" fillId="0" borderId="7" xfId="0" applyNumberFormat="1" applyFont="1" applyFill="1" applyBorder="1" applyAlignment="1" applyProtection="1">
      <alignment horizontal="center" vertical="center"/>
    </xf>
    <xf numFmtId="44" fontId="18" fillId="0" borderId="2" xfId="0" applyNumberFormat="1" applyFont="1" applyFill="1" applyBorder="1" applyAlignment="1" applyProtection="1">
      <alignment horizontal="center" vertical="center"/>
    </xf>
    <xf numFmtId="0" fontId="16" fillId="0" borderId="1" xfId="2" applyNumberFormat="1" applyFont="1" applyFill="1" applyBorder="1" applyAlignment="1" applyProtection="1">
      <alignment horizontal="center" vertical="center"/>
    </xf>
    <xf numFmtId="0" fontId="19" fillId="0" borderId="2" xfId="2" applyFont="1" applyFill="1" applyBorder="1" applyAlignment="1" applyProtection="1">
      <alignment horizontal="left" vertical="center" wrapText="1"/>
      <protection locked="0"/>
    </xf>
    <xf numFmtId="0" fontId="16" fillId="0" borderId="2" xfId="2" applyNumberFormat="1" applyFont="1" applyFill="1" applyBorder="1" applyAlignment="1" applyProtection="1">
      <alignment horizontal="center" vertical="center"/>
      <protection locked="0"/>
    </xf>
    <xf numFmtId="44" fontId="17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EC4E6"/>
      <color rgb="FF91BCE3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16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10</xdr:row>
      <xdr:rowOff>593725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4" totalsRowCount="1" headerRowDxfId="41" dataDxfId="40" totalsRowDxfId="38" tableBorderDxfId="39" totalsRowBorderDxfId="37">
  <autoFilter ref="B9:F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6" totalsRowDxfId="35" dataCellStyle="Normal 2"/>
    <tableColumn id="2" name="DESCRIÇÃO" totalsRowLabel="TOTAL" dataDxfId="34" totalsRowDxfId="33" dataCellStyle="Normal 2"/>
    <tableColumn id="3" name="QTDE" dataDxfId="32" totalsRowDxfId="31" dataCellStyle="Normal 2"/>
    <tableColumn id="4" name="VALOR UNT." dataDxfId="30" totalsRowDxfId="29" dataCellStyle="Moeda 2">
      <calculatedColumnFormula>ROUND((1975+(110*(0.75+0.1)*(0.45+0.1)*markup(3))+(200*markup(2))+60+30)*1.12233,0)+1</calculatedColumnFormula>
    </tableColumn>
    <tableColumn id="5" name="SUB TOTAL" totalsRowFunction="custom" dataDxfId="28" totalsRowDxfId="27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26" dataDxfId="25" tableBorderDxfId="24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3"/>
    <tableColumn id="1" name="m²" dataDxfId="22">
      <calculatedColumnFormula>1.22*2.44</calculatedColumnFormula>
    </tableColumn>
    <tableColumn id="2" name="5mm" dataDxfId="21"/>
    <tableColumn id="3" name="10mm" dataDxfId="20"/>
    <tableColumn id="4" name="15mm" dataDxfId="19"/>
    <tableColumn id="5" name="20mm" dataDxfId="1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17" dataDxfId="16" tableBorderDxfId="1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4" dataCellStyle="Moeda"/>
    <tableColumn id="2" name="PUXADOR" dataDxfId="13" dataCellStyle="Moeda"/>
    <tableColumn id="3" name="TINTA m²" dataDxfId="12" dataCellStyle="Moeda"/>
    <tableColumn id="4" name="ESPELHO m²" dataDxfId="11" dataCellStyle="Moeda"/>
    <tableColumn id="5" name="CORREDIÇA" dataDxfId="10" dataCellStyle="Moeda"/>
    <tableColumn id="6" name="PÉ" dataDxfId="9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8" dataDxfId="6" headerRowBorderDxfId="7" tableBorderDxfId="5" totalsRowBorderDxfId="4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" dataCellStyle="Normal 2"/>
    <tableColumn id="2" name="DATA" dataDxfId="2" dataCellStyle="Normal 2"/>
    <tableColumn id="3" name="Nº" dataDxfId="1" dataCellStyle="Normal 2"/>
    <tableColumn id="4" name="MARKUP" dataDxfId="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F9" sqref="F9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M2" s="18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61" t="s">
        <v>27</v>
      </c>
      <c r="F3" s="61"/>
      <c r="M3" s="18"/>
      <c r="U3" s="28" t="s">
        <v>23</v>
      </c>
      <c r="V3" s="46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61" t="s">
        <v>24</v>
      </c>
      <c r="F4" s="61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8" t="s">
        <v>25</v>
      </c>
      <c r="F5" s="58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26</v>
      </c>
      <c r="V9" s="42">
        <v>45667</v>
      </c>
      <c r="W9" s="40">
        <v>3025</v>
      </c>
      <c r="X9" s="41">
        <v>3</v>
      </c>
    </row>
    <row r="10" spans="2:34" s="16" customFormat="1" ht="57" x14ac:dyDescent="0.25">
      <c r="B10" s="44">
        <v>1</v>
      </c>
      <c r="C10" s="45" t="s">
        <v>33</v>
      </c>
      <c r="D10" s="20">
        <v>1</v>
      </c>
      <c r="E10" s="21">
        <v>2430</v>
      </c>
      <c r="F10" s="22">
        <f>OrcamentTbl[VALOR UNT.]*OrcamentTbl[QTDE]</f>
        <v>2430</v>
      </c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57" x14ac:dyDescent="0.25">
      <c r="B11" s="52">
        <v>2</v>
      </c>
      <c r="C11" s="53" t="s">
        <v>33</v>
      </c>
      <c r="D11" s="54">
        <v>1</v>
      </c>
      <c r="E11" s="55">
        <v>2430</v>
      </c>
      <c r="F11" s="56">
        <f>OrcamentTbl[VALOR UNT.]*OrcamentTbl[QTDE]</f>
        <v>2430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ht="57" x14ac:dyDescent="0.25">
      <c r="B12" s="52">
        <v>3</v>
      </c>
      <c r="C12" s="53" t="s">
        <v>33</v>
      </c>
      <c r="D12" s="54">
        <v>1</v>
      </c>
      <c r="E12" s="55">
        <v>2430</v>
      </c>
      <c r="F12" s="56">
        <f>OrcamentTbl[VALOR UNT.]*OrcamentTbl[QTDE]</f>
        <v>2430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ht="57" x14ac:dyDescent="0.25">
      <c r="B13" s="52">
        <v>4</v>
      </c>
      <c r="C13" s="53" t="s">
        <v>34</v>
      </c>
      <c r="D13" s="54">
        <v>1</v>
      </c>
      <c r="E13" s="55">
        <v>2005</v>
      </c>
      <c r="F13" s="56">
        <f>OrcamentTbl[VALOR UNT.]*OrcamentTbl[QTDE]</f>
        <v>2005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ht="35.1" customHeight="1" x14ac:dyDescent="0.25">
      <c r="B14" s="47"/>
      <c r="C14" s="48" t="s">
        <v>17</v>
      </c>
      <c r="D14" s="49"/>
      <c r="E14" s="50"/>
      <c r="F14" s="51">
        <f>SUBTOTAL(109,OrcamentTbl[SUB TOTAL])</f>
        <v>9295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x14ac:dyDescent="0.25">
      <c r="B15" s="59"/>
      <c r="C15" s="60"/>
      <c r="D15" s="60"/>
      <c r="E15" s="60"/>
      <c r="F15" s="60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x14ac:dyDescent="0.25">
      <c r="B16" s="57"/>
      <c r="C16" s="57"/>
      <c r="D16" s="57"/>
      <c r="E16" s="57"/>
      <c r="F16" s="5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ht="35.1" customHeigh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43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sheetProtection algorithmName="SHA-512" hashValue="9waqEXrdECpXN3rnS7a9hfrOXTsA1ovE08grpoNLqGV0QtgjBHZipTk4asky5gCm9YtiruUA0Cg5obdYvvNdjg==" saltValue="dirKmpjTi08AbFX7bOFMfQ==" spinCount="100000" sheet="1" objects="1" scenarios="1"/>
  <mergeCells count="5">
    <mergeCell ref="B16:F16"/>
    <mergeCell ref="E5:F5"/>
    <mergeCell ref="B15:F15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28</v>
      </c>
    </row>
    <row r="4" spans="2:2" x14ac:dyDescent="0.25">
      <c r="B4" t="s">
        <v>29</v>
      </c>
    </row>
    <row r="5" spans="2:2" x14ac:dyDescent="0.25">
      <c r="B5" t="s">
        <v>30</v>
      </c>
    </row>
    <row r="6" spans="2:2" x14ac:dyDescent="0.25">
      <c r="B6" t="s">
        <v>31</v>
      </c>
    </row>
    <row r="7" spans="2:2" x14ac:dyDescent="0.25">
      <c r="B7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Cadastro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2025-02-13T18:22:33Z</dcterms:modified>
</cp:coreProperties>
</file>